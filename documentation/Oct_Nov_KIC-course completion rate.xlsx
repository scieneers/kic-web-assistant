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28.10.2025"/>
    <sheet r:id="rId2" sheetId="2" name="27.11.2025"/>
  </sheets>
  <definedNames>
    <definedName name="_xlnm._FilterDatabase" localSheetId="1">'27.11.2025'!$A$1:$L$1</definedName>
    <definedName name="_xlnm._FilterDatabase" localSheetId="0">'28.10.2025'!$A$1:$L$1</definedName>
  </definedNames>
  <calcPr fullCalcOnLoad="1"/>
</workbook>
</file>

<file path=xl/sharedStrings.xml><?xml version="1.0" encoding="utf-8"?>
<sst xmlns="http://schemas.openxmlformats.org/spreadsheetml/2006/main" count="370" uniqueCount="108">
  <si>
    <t>courseID</t>
  </si>
  <si>
    <t>Live Courses</t>
  </si>
  <si>
    <t>Course Category</t>
  </si>
  <si>
    <t>Enrolled learners</t>
  </si>
  <si>
    <t>Acquired # Comfirmation of Participations</t>
  </si>
  <si>
    <t>Acquired # Records of Achievement</t>
  </si>
  <si>
    <t>Rate CoP</t>
  </si>
  <si>
    <t>Rate RoA (success)</t>
  </si>
  <si>
    <t>Einführung in die KI</t>
  </si>
  <si>
    <t>Über KI</t>
  </si>
  <si>
    <t>KI für Alle 1: Einführung in die Künstliche Intelligenz</t>
  </si>
  <si>
    <t>EU AI Act Essentials</t>
  </si>
  <si>
    <t>Studieren</t>
  </si>
  <si>
    <t>KIÖV - KI in öffentlichen Verwaltungen</t>
  </si>
  <si>
    <t>Sprachassistenzen als Chance für die Hochschullehre</t>
  </si>
  <si>
    <t>Erwachsenenbildung</t>
  </si>
  <si>
    <t>Prompt-Labor Hochschullehre 2.0</t>
  </si>
  <si>
    <t>Identifikation geeigneter KI-Anwendungsfälle</t>
  </si>
  <si>
    <t>Industrie 4.0</t>
  </si>
  <si>
    <t>AICE your exams – Generative KI als Copilot im Schul- und Unialltag</t>
  </si>
  <si>
    <t>Schule macht KI</t>
  </si>
  <si>
    <t>Schule</t>
  </si>
  <si>
    <t>Daten- und Algorithmenethik</t>
  </si>
  <si>
    <t>KI und Ethik</t>
  </si>
  <si>
    <t>KI praktisch anwenden - Step by Step zu deinem Chatbot!</t>
  </si>
  <si>
    <t>KI-Kompetenzen in der Hochschulverwaltung</t>
  </si>
  <si>
    <t>Data Literacy</t>
  </si>
  <si>
    <t>AI4Democracy - Grundlagen zu KI in der Demokratie</t>
  </si>
  <si>
    <t>Introduction to AI and Entrepreneurship</t>
  </si>
  <si>
    <t>KI für Alle 2: Verstehen, Bewerten, Reflektieren</t>
  </si>
  <si>
    <t>KI und Leadership</t>
  </si>
  <si>
    <t>Sozialverantwortliche KI-Gestaltung</t>
  </si>
  <si>
    <t>Prompt-Labor – generative KI in der Hochschullehre: Anwendungen</t>
  </si>
  <si>
    <t>Künstliche Intelligenz im Handel</t>
  </si>
  <si>
    <t>Handel</t>
  </si>
  <si>
    <t>Methods of AI I – Intelligent Agents</t>
  </si>
  <si>
    <t>KI und Ziele für nachhaltige Entwicklung</t>
  </si>
  <si>
    <t>Identifikation von KI-Use-Cases</t>
  </si>
  <si>
    <t>KI-Explorables für die Schule</t>
  </si>
  <si>
    <t>AutoML - Automated Machine Learning</t>
  </si>
  <si>
    <t>Maschinelles Lernen</t>
  </si>
  <si>
    <t>KI und Leadership - Mikrokurs</t>
  </si>
  <si>
    <t>KI für Lehrende: generative KI im Hochschulkontext</t>
  </si>
  <si>
    <t>Data Literacy für die Grundschule</t>
  </si>
  <si>
    <t>Künstliche Intelligenz als Treiber innovativer Geschäftsmodelle</t>
  </si>
  <si>
    <t>Learning Analytics für Lehrkräfte</t>
  </si>
  <si>
    <t>KI-Power für Frauen 45+</t>
  </si>
  <si>
    <t>Robot Learning</t>
  </si>
  <si>
    <t>Robotik</t>
  </si>
  <si>
    <t>Methoden der Bias-Reduktion für eine sozialverantwortliche KI-Gestaltung</t>
  </si>
  <si>
    <t>Data Science Foundations</t>
  </si>
  <si>
    <t>Launchpad to AI - An Introduction to Applications, Risks, and Opportunities</t>
  </si>
  <si>
    <t>Teampraktiken für sozialverantwortliche KI-Gestaltung</t>
  </si>
  <si>
    <t>Künstliche Intelligenz in der Gesundheitsversorgung</t>
  </si>
  <si>
    <t>Medizin</t>
  </si>
  <si>
    <t>Von der Datenanalyse zur Datengeschichte</t>
  </si>
  <si>
    <t>AMALEA – Angewandte Machine-Learning-Algorithmen</t>
  </si>
  <si>
    <t>Natural Language Processing</t>
  </si>
  <si>
    <t>Schule macht Daten</t>
  </si>
  <si>
    <t>Deep Learning mit Tensorflow, Keras und Tensorflow.js</t>
  </si>
  <si>
    <t>Künstliche Intelligenz in der Medizin – Mit Datenkompetenz und intelligenten Systemen zu klinischen Entscheidungen​</t>
  </si>
  <si>
    <t>Planspiel zur Vermittlung von KI-Kompetenzen für organisationale Entscheidungsprozesse</t>
  </si>
  <si>
    <t>ChaBoDoc - ChatBots for FutureDocs</t>
  </si>
  <si>
    <t>Reinforcement Learning</t>
  </si>
  <si>
    <t>Foundations of Deep Learning I: Basics</t>
  </si>
  <si>
    <t>Anwendung von KI in der Produktion</t>
  </si>
  <si>
    <t>Stochastic Foundations</t>
  </si>
  <si>
    <t>Methods of AI II – Search Algorithms</t>
  </si>
  <si>
    <t>Artificial Intelligence</t>
  </si>
  <si>
    <t>Methods of AI III – Logical Reasoning</t>
  </si>
  <si>
    <t>Fortbildung "KI verstehen - KI vermitteln"</t>
  </si>
  <si>
    <t>Dr. med. KI – Seltene Erkrankungen</t>
  </si>
  <si>
    <t>Dr. med. KI - Chirurgie</t>
  </si>
  <si>
    <t>AI Explorables for Schools</t>
  </si>
  <si>
    <t>Methods of AI IV – Knowledge Representation</t>
  </si>
  <si>
    <t>Methods of AI – Machine Learning</t>
  </si>
  <si>
    <t>Künstliche Intelligenz im Kontext von Praxis und Ausbildung der Gesundheitsberufe</t>
  </si>
  <si>
    <t>Methods of AI V – Constraint Reasoning</t>
  </si>
  <si>
    <t>Die Welt der KI entdecken</t>
  </si>
  <si>
    <t>Introduction to Machine Learning Part 1: Foundations</t>
  </si>
  <si>
    <t>Introduction to Machine Learning Part 2: Algorithms</t>
  </si>
  <si>
    <t>Introduction to Machine Learning Part 3: Evaluation and Tuning</t>
  </si>
  <si>
    <t>Introduction to Machine Learning - Micro Degree</t>
  </si>
  <si>
    <t>Data Literacy - Basiskurs Data Lifecycle</t>
  </si>
  <si>
    <t>Data Literacy - Daten bereitstellen mit Sensoren</t>
  </si>
  <si>
    <t>Data Literacy - Daten interpretieren durch Data Mining</t>
  </si>
  <si>
    <t>Data Literacy - Micro-Degree</t>
  </si>
  <si>
    <t>Ganzheitliche angewandte KI im Ingenieurbereich - Maschinelles Lernen in der Produktion</t>
  </si>
  <si>
    <t>Ganzheitliche angewandte KI im Ingenieurbereich - Deep Learning für Zeitreihen / sequentielle Prozessdaten</t>
  </si>
  <si>
    <t>Ganzheitliche angewandte KI im Ingenieurbereich-Micro Degree</t>
  </si>
  <si>
    <t>Ganzheitliche angewandte KI im Ingenieurbereich - Prozessinformatik</t>
  </si>
  <si>
    <t>AI_VET I – KI im Kontext von Lehren und Lernen</t>
  </si>
  <si>
    <t>AI_VET II – Learning Analytics</t>
  </si>
  <si>
    <t>AI_VET III – KI als Inhalt der beruflichen Bildung</t>
  </si>
  <si>
    <t>AI_VET IV – KI als Werkzeug in der beruflichen Bildung</t>
  </si>
  <si>
    <t>Micro-Degree zu KI in der beruflichen Bildung</t>
  </si>
  <si>
    <t>Dr. med. KI - Basics</t>
  </si>
  <si>
    <t>Dr. med. KI - Ethics</t>
  </si>
  <si>
    <t>Dr. med. KI - Clinics</t>
  </si>
  <si>
    <t>Dr. med. KI - Micro Degree zu Künstlicher Intelligenz in der Medizin</t>
  </si>
  <si>
    <t>IBM-Grundlagen der Künstlichen Intelligenz</t>
  </si>
  <si>
    <t>Deine Zukunft in der KI-Joblandschaft</t>
  </si>
  <si>
    <t>Die fünf Säulen der KI-Ethik</t>
  </si>
  <si>
    <t>Die Welt der Daten</t>
  </si>
  <si>
    <t>Natural Language Processing und Computer Vision</t>
  </si>
  <si>
    <t>KI-Modelle ausführen mit IBM-Watson Studio</t>
  </si>
  <si>
    <t>Maschinelles Lernen und Deep Learning mit IBM</t>
  </si>
  <si>
    <t>Grundlagen der Künstlichen Intelligenz Micro-Degree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</si>
</sst>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aeefb"/>
      </patternFill>
    </fill>
    <fill>
      <patternFill patternType="solid">
        <fgColor rgb="FFfae3d6"/>
      </patternFill>
    </fill>
    <fill>
      <patternFill patternType="solid">
        <fgColor rgb="FFc1f1c8"/>
      </patternFill>
    </fill>
    <fill>
      <patternFill patternType="solid">
        <fgColor rgb="FFc1e5f5"/>
      </patternFill>
    </fill>
    <fill>
      <patternFill patternType="solid">
        <fgColor rgb="FFd9f2d0"/>
      </patternFill>
    </fill>
    <fill>
      <patternFill patternType="solid">
        <fgColor rgb="FFf2cf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164" applyNumberFormat="1" borderId="2" applyBorder="1" fontId="2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3" applyFont="1" fillId="3" applyFill="1" applyAlignment="1">
      <alignment horizontal="righ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4" applyFont="1" fillId="3" applyFill="1" applyAlignment="1">
      <alignment horizontal="right"/>
    </xf>
    <xf xfId="0" numFmtId="0" borderId="2" applyBorder="1" fontId="4" applyFont="1" fillId="3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0" borderId="2" applyBorder="1" fontId="3" applyFont="1" fillId="4" applyFill="1" applyAlignment="1">
      <alignment horizontal="left"/>
    </xf>
    <xf xfId="0" numFmtId="3" applyNumberFormat="1" borderId="2" applyBorder="1" fontId="4" applyFont="1" fillId="4" applyFill="1" applyAlignment="1">
      <alignment horizontal="right"/>
    </xf>
    <xf xfId="0" numFmtId="0" borderId="2" applyBorder="1" fontId="4" applyFont="1" fillId="4" applyFill="1" applyAlignment="1">
      <alignment horizontal="left"/>
    </xf>
    <xf xfId="0" numFmtId="3" applyNumberFormat="1" borderId="2" applyBorder="1" fontId="3" applyFont="1" fillId="5" applyFill="1" applyAlignment="1">
      <alignment horizontal="right"/>
    </xf>
    <xf xfId="0" numFmtId="0" borderId="2" applyBorder="1" fontId="3" applyFont="1" fillId="5" applyFill="1" applyAlignment="1">
      <alignment horizontal="left"/>
    </xf>
    <xf xfId="0" numFmtId="3" applyNumberFormat="1" borderId="2" applyBorder="1" fontId="4" applyFont="1" fillId="5" applyFill="1" applyAlignment="1">
      <alignment horizontal="right"/>
    </xf>
    <xf xfId="0" numFmtId="0" borderId="2" applyBorder="1" fontId="4" applyFont="1" fillId="5" applyFill="1" applyAlignment="1">
      <alignment horizontal="left"/>
    </xf>
    <xf xfId="0" numFmtId="3" applyNumberFormat="1" borderId="2" applyBorder="1" fontId="3" applyFont="1" fillId="6" applyFill="1" applyAlignment="1">
      <alignment horizontal="right"/>
    </xf>
    <xf xfId="0" numFmtId="0" borderId="2" applyBorder="1" fontId="3" applyFont="1" fillId="6" applyFill="1" applyAlignment="1">
      <alignment horizontal="left"/>
    </xf>
    <xf xfId="0" numFmtId="3" applyNumberFormat="1" borderId="2" applyBorder="1" fontId="4" applyFont="1" fillId="6" applyFill="1" applyAlignment="1">
      <alignment horizontal="right"/>
    </xf>
    <xf xfId="0" numFmtId="0" borderId="2" applyBorder="1" fontId="4" applyFont="1" fillId="6" applyFill="1" applyAlignment="1">
      <alignment horizontal="left"/>
    </xf>
    <xf xfId="0" numFmtId="3" applyNumberFormat="1" borderId="2" applyBorder="1" fontId="3" applyFont="1" fillId="7" applyFill="1" applyAlignment="1">
      <alignment horizontal="right"/>
    </xf>
    <xf xfId="0" numFmtId="0" borderId="2" applyBorder="1" fontId="3" applyFont="1" fillId="7" applyFill="1" applyAlignment="1">
      <alignment horizontal="left"/>
    </xf>
    <xf xfId="0" numFmtId="3" applyNumberFormat="1" borderId="2" applyBorder="1" fontId="4" applyFont="1" fillId="7" applyFill="1" applyAlignment="1">
      <alignment horizontal="right"/>
    </xf>
    <xf xfId="0" numFmtId="0" borderId="2" applyBorder="1" fontId="4" applyFont="1" fillId="7" applyFill="1" applyAlignment="1">
      <alignment horizontal="left"/>
    </xf>
    <xf xfId="0" numFmtId="3" applyNumberFormat="1" borderId="2" applyBorder="1" fontId="3" applyFont="1" fillId="8" applyFill="1" applyAlignment="1">
      <alignment horizontal="right"/>
    </xf>
    <xf xfId="0" numFmtId="0" borderId="2" applyBorder="1" fontId="3" applyFont="1" fillId="8" applyFill="1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workbookViewId="0"/>
  </sheetViews>
  <sheetFormatPr defaultRowHeight="15" x14ac:dyDescent="0.25"/>
  <cols>
    <col min="1" max="1" style="35" width="3.7192857142857143" customWidth="1" bestFit="1"/>
    <col min="2" max="2" style="36" width="38.57642857142857" customWidth="1" bestFit="1"/>
    <col min="3" max="3" style="36" width="30.290714285714284" customWidth="1" bestFit="1"/>
    <col min="4" max="4" style="35" width="30.576428571428572" customWidth="1" bestFit="1"/>
    <col min="5" max="5" style="35" width="44.29071428571429" customWidth="1" bestFit="1"/>
    <col min="6" max="6" style="35" width="42.29071428571429" customWidth="1" bestFit="1"/>
    <col min="7" max="7" style="37" width="26.576428571428572" customWidth="1" bestFit="1"/>
    <col min="8" max="8" style="37" width="21.719285714285714" customWidth="1" bestFit="1"/>
    <col min="9" max="9" style="37" width="12.576428571428572" customWidth="1" bestFit="1"/>
    <col min="10" max="10" style="36" width="20.719285714285714" customWidth="1" bestFit="1"/>
    <col min="11" max="11" style="36" width="12.147857142857141" customWidth="1" bestFit="1"/>
    <col min="12" max="12" style="36" width="13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/>
      <c r="J1" s="3"/>
      <c r="K1" s="3"/>
      <c r="L1" s="3"/>
    </row>
    <row x14ac:dyDescent="0.25" r="2" customHeight="1" ht="14.25">
      <c r="A2" s="6">
        <v>106</v>
      </c>
      <c r="B2" s="7" t="s">
        <v>8</v>
      </c>
      <c r="C2" s="7" t="s">
        <v>9</v>
      </c>
      <c r="D2" s="8">
        <v>13231</v>
      </c>
      <c r="E2" s="8">
        <v>2073</v>
      </c>
      <c r="F2" s="8">
        <v>1618</v>
      </c>
      <c r="G2" s="9">
        <f> E2/D2</f>
      </c>
      <c r="H2" s="9">
        <f>F2/D2</f>
      </c>
      <c r="I2" s="9"/>
      <c r="J2" s="7"/>
      <c r="K2" s="7"/>
      <c r="L2" s="7"/>
    </row>
    <row x14ac:dyDescent="0.25" r="3" customHeight="1" ht="14.25">
      <c r="A3" s="6">
        <v>99</v>
      </c>
      <c r="B3" s="7" t="s">
        <v>10</v>
      </c>
      <c r="C3" s="7" t="s">
        <v>9</v>
      </c>
      <c r="D3" s="8">
        <v>5289</v>
      </c>
      <c r="E3" s="8">
        <v>387</v>
      </c>
      <c r="F3" s="8">
        <v>272</v>
      </c>
      <c r="G3" s="9">
        <f> E3/D3</f>
      </c>
      <c r="H3" s="9">
        <f>F3/D3</f>
      </c>
      <c r="I3" s="9"/>
      <c r="J3" s="7"/>
      <c r="K3" s="7"/>
      <c r="L3" s="7"/>
    </row>
    <row x14ac:dyDescent="0.25" r="4" customHeight="1" ht="18.75">
      <c r="A4" s="6">
        <v>313</v>
      </c>
      <c r="B4" s="7" t="s">
        <v>11</v>
      </c>
      <c r="C4" s="7" t="s">
        <v>12</v>
      </c>
      <c r="D4" s="8">
        <v>4286</v>
      </c>
      <c r="E4" s="8">
        <v>1319</v>
      </c>
      <c r="F4" s="8">
        <v>978</v>
      </c>
      <c r="G4" s="9">
        <f> E4/D4</f>
      </c>
      <c r="H4" s="9">
        <f>F4/D4</f>
      </c>
      <c r="I4" s="9"/>
      <c r="J4" s="7"/>
      <c r="K4" s="7"/>
      <c r="L4" s="7"/>
    </row>
    <row x14ac:dyDescent="0.25" r="5" customHeight="1" ht="18.75">
      <c r="A5" s="6">
        <v>19</v>
      </c>
      <c r="B5" s="7" t="s">
        <v>14</v>
      </c>
      <c r="C5" s="7" t="s">
        <v>15</v>
      </c>
      <c r="D5" s="8">
        <v>4182</v>
      </c>
      <c r="E5" s="8">
        <v>619</v>
      </c>
      <c r="F5" s="8">
        <v>555</v>
      </c>
      <c r="G5" s="9">
        <f> E5/D5</f>
      </c>
      <c r="H5" s="9">
        <f>F5/D5</f>
      </c>
      <c r="I5" s="9"/>
      <c r="J5" s="7"/>
      <c r="K5" s="7"/>
      <c r="L5" s="7"/>
    </row>
    <row x14ac:dyDescent="0.25" r="6" customHeight="1" ht="14.25">
      <c r="A6" s="6">
        <v>197</v>
      </c>
      <c r="B6" s="7" t="s">
        <v>13</v>
      </c>
      <c r="C6" s="7" t="s">
        <v>12</v>
      </c>
      <c r="D6" s="8">
        <v>4038</v>
      </c>
      <c r="E6" s="8">
        <v>2154</v>
      </c>
      <c r="F6" s="8">
        <v>1911</v>
      </c>
      <c r="G6" s="9">
        <f> E6/D6</f>
      </c>
      <c r="H6" s="9">
        <f>F6/D6</f>
      </c>
      <c r="I6" s="9"/>
      <c r="J6" s="7"/>
      <c r="K6" s="7"/>
      <c r="L6" s="7"/>
    </row>
    <row x14ac:dyDescent="0.25" r="7" customHeight="1" ht="18.75">
      <c r="A7" s="6">
        <v>27</v>
      </c>
      <c r="B7" s="7" t="s">
        <v>17</v>
      </c>
      <c r="C7" s="7" t="s">
        <v>18</v>
      </c>
      <c r="D7" s="8">
        <v>3606</v>
      </c>
      <c r="E7" s="8">
        <v>294</v>
      </c>
      <c r="F7" s="8">
        <v>273</v>
      </c>
      <c r="G7" s="9">
        <f> E7/D7</f>
      </c>
      <c r="H7" s="9">
        <f>F7/D7</f>
      </c>
      <c r="I7" s="9"/>
      <c r="J7" s="7"/>
      <c r="K7" s="7"/>
      <c r="L7" s="7"/>
    </row>
    <row x14ac:dyDescent="0.25" r="8" customHeight="1" ht="18.75">
      <c r="A8" s="6">
        <v>58</v>
      </c>
      <c r="B8" s="7" t="s">
        <v>19</v>
      </c>
      <c r="C8" s="7" t="s">
        <v>12</v>
      </c>
      <c r="D8" s="8">
        <v>3478</v>
      </c>
      <c r="E8" s="8">
        <v>762</v>
      </c>
      <c r="F8" s="8">
        <v>217</v>
      </c>
      <c r="G8" s="9">
        <f> E8/D8</f>
      </c>
      <c r="H8" s="9">
        <f>F8/D8</f>
      </c>
      <c r="I8" s="9"/>
      <c r="J8" s="7"/>
      <c r="K8" s="7"/>
      <c r="L8" s="7"/>
    </row>
    <row x14ac:dyDescent="0.25" r="9" customHeight="1" ht="18.75">
      <c r="A9" s="6">
        <v>64</v>
      </c>
      <c r="B9" s="7" t="s">
        <v>20</v>
      </c>
      <c r="C9" s="7" t="s">
        <v>21</v>
      </c>
      <c r="D9" s="8">
        <v>2244</v>
      </c>
      <c r="E9" s="8">
        <v>408</v>
      </c>
      <c r="F9" s="8">
        <v>300</v>
      </c>
      <c r="G9" s="9">
        <f> E9/D9</f>
      </c>
      <c r="H9" s="9">
        <f>F9/D9</f>
      </c>
      <c r="I9" s="9"/>
      <c r="J9" s="7"/>
      <c r="K9" s="7"/>
      <c r="L9" s="7"/>
    </row>
    <row x14ac:dyDescent="0.25" r="10" customHeight="1" ht="18.75">
      <c r="A10" s="6">
        <v>141</v>
      </c>
      <c r="B10" s="7" t="s">
        <v>22</v>
      </c>
      <c r="C10" s="7" t="s">
        <v>23</v>
      </c>
      <c r="D10" s="8">
        <v>2070</v>
      </c>
      <c r="E10" s="8">
        <v>276</v>
      </c>
      <c r="F10" s="8">
        <v>220</v>
      </c>
      <c r="G10" s="9">
        <f> E10/D10</f>
      </c>
      <c r="H10" s="9">
        <f>F10/D10</f>
      </c>
      <c r="I10" s="9"/>
      <c r="J10" s="7"/>
      <c r="K10" s="7"/>
      <c r="L10" s="7"/>
    </row>
    <row x14ac:dyDescent="0.25" r="11" customHeight="1" ht="18.75">
      <c r="A11" s="6">
        <v>177</v>
      </c>
      <c r="B11" s="7" t="s">
        <v>24</v>
      </c>
      <c r="C11" s="7" t="s">
        <v>18</v>
      </c>
      <c r="D11" s="8">
        <v>1909</v>
      </c>
      <c r="E11" s="8">
        <v>91</v>
      </c>
      <c r="F11" s="8">
        <v>91</v>
      </c>
      <c r="G11" s="9">
        <f> E11/D11</f>
      </c>
      <c r="H11" s="9">
        <f>F11/D11</f>
      </c>
      <c r="I11" s="9"/>
      <c r="J11" s="7"/>
      <c r="K11" s="7"/>
      <c r="L11" s="7"/>
    </row>
    <row x14ac:dyDescent="0.25" r="12" customHeight="1" ht="18.75">
      <c r="A12" s="8">
        <v>360</v>
      </c>
      <c r="B12" s="10" t="s">
        <v>25</v>
      </c>
      <c r="C12" s="10" t="s">
        <v>26</v>
      </c>
      <c r="D12" s="8">
        <v>1664</v>
      </c>
      <c r="E12" s="8">
        <v>445</v>
      </c>
      <c r="F12" s="8">
        <v>355</v>
      </c>
      <c r="G12" s="9">
        <f> E12/D12</f>
      </c>
      <c r="H12" s="9">
        <f>F12/D12</f>
      </c>
      <c r="I12" s="9"/>
      <c r="J12" s="7"/>
      <c r="K12" s="7"/>
      <c r="L12" s="7"/>
    </row>
    <row x14ac:dyDescent="0.25" r="13" customHeight="1" ht="14.25">
      <c r="A13" s="6">
        <v>127</v>
      </c>
      <c r="B13" s="7" t="s">
        <v>27</v>
      </c>
      <c r="C13" s="7" t="s">
        <v>9</v>
      </c>
      <c r="D13" s="8">
        <v>1543</v>
      </c>
      <c r="E13" s="8">
        <v>462</v>
      </c>
      <c r="F13" s="8">
        <v>427</v>
      </c>
      <c r="G13" s="9">
        <f> E13/D13</f>
      </c>
      <c r="H13" s="9">
        <f>F13/D13</f>
      </c>
      <c r="I13" s="9"/>
      <c r="J13" s="7"/>
      <c r="K13" s="7"/>
      <c r="L13" s="7"/>
    </row>
    <row x14ac:dyDescent="0.25" r="14" customHeight="1" ht="18.75">
      <c r="A14" s="6">
        <v>111</v>
      </c>
      <c r="B14" s="7" t="s">
        <v>29</v>
      </c>
      <c r="C14" s="7" t="s">
        <v>9</v>
      </c>
      <c r="D14" s="8">
        <v>1521</v>
      </c>
      <c r="E14" s="8">
        <v>143</v>
      </c>
      <c r="F14" s="8">
        <v>0</v>
      </c>
      <c r="G14" s="9">
        <f> E14/D14</f>
      </c>
      <c r="H14" s="9">
        <f>F14/D14</f>
      </c>
      <c r="I14" s="9"/>
      <c r="J14" s="7"/>
      <c r="K14" s="7"/>
      <c r="L14" s="7"/>
    </row>
    <row x14ac:dyDescent="0.25" r="15" customHeight="1" ht="18.75">
      <c r="A15" s="6">
        <v>285</v>
      </c>
      <c r="B15" s="7" t="s">
        <v>28</v>
      </c>
      <c r="C15" s="7" t="s">
        <v>18</v>
      </c>
      <c r="D15" s="8">
        <v>1459</v>
      </c>
      <c r="E15" s="8">
        <v>74</v>
      </c>
      <c r="F15" s="8">
        <v>117</v>
      </c>
      <c r="G15" s="9">
        <f> E15/D15</f>
      </c>
      <c r="H15" s="9">
        <f>F15/D15</f>
      </c>
      <c r="I15" s="9"/>
      <c r="J15" s="7"/>
      <c r="K15" s="7"/>
      <c r="L15" s="7"/>
    </row>
    <row x14ac:dyDescent="0.25" r="16" customHeight="1" ht="14.25">
      <c r="A16" s="6">
        <v>187</v>
      </c>
      <c r="B16" s="7" t="s">
        <v>30</v>
      </c>
      <c r="C16" s="7" t="s">
        <v>9</v>
      </c>
      <c r="D16" s="8">
        <v>1457</v>
      </c>
      <c r="E16" s="8">
        <v>203</v>
      </c>
      <c r="F16" s="8">
        <v>193</v>
      </c>
      <c r="G16" s="9">
        <f> E16/D16</f>
      </c>
      <c r="H16" s="9">
        <f>F16/D16</f>
      </c>
      <c r="I16" s="9"/>
      <c r="J16" s="7"/>
      <c r="K16" s="7"/>
      <c r="L16" s="7"/>
    </row>
    <row x14ac:dyDescent="0.25" r="17" customHeight="1" ht="18.75">
      <c r="A17" s="6">
        <v>29</v>
      </c>
      <c r="B17" s="7" t="s">
        <v>31</v>
      </c>
      <c r="C17" s="7" t="s">
        <v>23</v>
      </c>
      <c r="D17" s="8">
        <v>1418</v>
      </c>
      <c r="E17" s="8">
        <v>364</v>
      </c>
      <c r="F17" s="8">
        <v>303</v>
      </c>
      <c r="G17" s="9">
        <f> E17/D17</f>
      </c>
      <c r="H17" s="9">
        <f>F17/D17</f>
      </c>
      <c r="I17" s="9"/>
      <c r="J17" s="7"/>
      <c r="K17" s="7"/>
      <c r="L17" s="7"/>
    </row>
    <row x14ac:dyDescent="0.25" r="18" customHeight="1" ht="14.25">
      <c r="A18" s="6">
        <v>28</v>
      </c>
      <c r="B18" s="7" t="s">
        <v>33</v>
      </c>
      <c r="C18" s="7" t="s">
        <v>34</v>
      </c>
      <c r="D18" s="8">
        <v>1411</v>
      </c>
      <c r="E18" s="8">
        <v>244</v>
      </c>
      <c r="F18" s="8">
        <v>213</v>
      </c>
      <c r="G18" s="9">
        <f> E18/D18</f>
      </c>
      <c r="H18" s="9">
        <f>F18/D18</f>
      </c>
      <c r="I18" s="9"/>
      <c r="J18" s="7"/>
      <c r="K18" s="7"/>
      <c r="L18" s="7"/>
    </row>
    <row x14ac:dyDescent="0.25" r="19" customHeight="1" ht="18.75">
      <c r="A19" s="6">
        <v>63</v>
      </c>
      <c r="B19" s="7" t="s">
        <v>36</v>
      </c>
      <c r="C19" s="7" t="s">
        <v>21</v>
      </c>
      <c r="D19" s="8">
        <v>1250</v>
      </c>
      <c r="E19" s="8">
        <v>328</v>
      </c>
      <c r="F19" s="8">
        <v>0</v>
      </c>
      <c r="G19" s="9">
        <f> E19/D19</f>
      </c>
      <c r="H19" s="9">
        <f>F19/D19</f>
      </c>
      <c r="I19" s="9"/>
      <c r="J19" s="7"/>
      <c r="K19" s="7"/>
      <c r="L19" s="7"/>
    </row>
    <row x14ac:dyDescent="0.25" r="20" customHeight="1" ht="18.75">
      <c r="A20" s="6">
        <v>229</v>
      </c>
      <c r="B20" s="7" t="s">
        <v>57</v>
      </c>
      <c r="C20" s="7" t="s">
        <v>40</v>
      </c>
      <c r="D20" s="8">
        <v>1244</v>
      </c>
      <c r="E20" s="8">
        <v>216</v>
      </c>
      <c r="F20" s="8">
        <v>169</v>
      </c>
      <c r="G20" s="9">
        <f> E20/D20</f>
      </c>
      <c r="H20" s="9">
        <f>F20/D20</f>
      </c>
      <c r="I20" s="9"/>
      <c r="J20" s="7"/>
      <c r="K20" s="7"/>
      <c r="L20" s="7"/>
    </row>
    <row x14ac:dyDescent="0.25" r="21" customHeight="1" ht="18.75">
      <c r="A21" s="6">
        <v>279</v>
      </c>
      <c r="B21" s="7" t="s">
        <v>37</v>
      </c>
      <c r="C21" s="7" t="s">
        <v>18</v>
      </c>
      <c r="D21" s="8">
        <v>1195</v>
      </c>
      <c r="E21" s="8">
        <v>174</v>
      </c>
      <c r="F21" s="8">
        <v>135</v>
      </c>
      <c r="G21" s="9">
        <f> E21/D21</f>
      </c>
      <c r="H21" s="9">
        <f>F21/D21</f>
      </c>
      <c r="I21" s="9"/>
      <c r="J21" s="7"/>
      <c r="K21" s="7"/>
      <c r="L21" s="7"/>
    </row>
    <row x14ac:dyDescent="0.25" r="22" customHeight="1" ht="18.75">
      <c r="A22" s="6">
        <v>337</v>
      </c>
      <c r="B22" s="7" t="s">
        <v>32</v>
      </c>
      <c r="C22" s="7" t="s">
        <v>15</v>
      </c>
      <c r="D22" s="8">
        <v>1154</v>
      </c>
      <c r="E22" s="8">
        <v>48</v>
      </c>
      <c r="F22" s="8">
        <v>45</v>
      </c>
      <c r="G22" s="9">
        <f> E22/D22</f>
      </c>
      <c r="H22" s="9">
        <f>F22/D22</f>
      </c>
      <c r="I22" s="9"/>
      <c r="J22" s="7"/>
      <c r="K22" s="7"/>
      <c r="L22" s="7"/>
    </row>
    <row x14ac:dyDescent="0.25" r="23" customHeight="1" ht="14.25">
      <c r="A23" s="6">
        <v>245</v>
      </c>
      <c r="B23" s="7" t="s">
        <v>39</v>
      </c>
      <c r="C23" s="7" t="s">
        <v>40</v>
      </c>
      <c r="D23" s="8">
        <v>949</v>
      </c>
      <c r="E23" s="8">
        <v>26</v>
      </c>
      <c r="F23" s="8">
        <v>0</v>
      </c>
      <c r="G23" s="9">
        <f> E23/D23</f>
      </c>
      <c r="H23" s="9">
        <f>F23/D23</f>
      </c>
      <c r="I23" s="9"/>
      <c r="J23" s="7"/>
      <c r="K23" s="7"/>
      <c r="L23" s="7"/>
    </row>
    <row x14ac:dyDescent="0.25" r="24" customHeight="1" ht="18.75">
      <c r="A24" s="6">
        <v>74</v>
      </c>
      <c r="B24" s="7" t="s">
        <v>38</v>
      </c>
      <c r="C24" s="7" t="s">
        <v>21</v>
      </c>
      <c r="D24" s="8">
        <v>924</v>
      </c>
      <c r="E24" s="8">
        <v>77</v>
      </c>
      <c r="F24" s="8">
        <v>50</v>
      </c>
      <c r="G24" s="9">
        <f> E24/D24</f>
      </c>
      <c r="H24" s="9">
        <f>F24/D24</f>
      </c>
      <c r="I24" s="9"/>
      <c r="J24" s="7"/>
      <c r="K24" s="7"/>
      <c r="L24" s="7"/>
    </row>
    <row x14ac:dyDescent="0.25" r="25" customHeight="1" ht="14.25">
      <c r="A25" s="6">
        <v>224</v>
      </c>
      <c r="B25" s="7" t="s">
        <v>49</v>
      </c>
      <c r="C25" s="7" t="s">
        <v>23</v>
      </c>
      <c r="D25" s="8">
        <v>881</v>
      </c>
      <c r="E25" s="8">
        <v>196</v>
      </c>
      <c r="F25" s="8">
        <v>163</v>
      </c>
      <c r="G25" s="9">
        <f> E25/D25</f>
      </c>
      <c r="H25" s="9">
        <f>F25/D25</f>
      </c>
      <c r="I25" s="9"/>
      <c r="J25" s="7"/>
      <c r="K25" s="7"/>
      <c r="L25" s="7"/>
    </row>
    <row x14ac:dyDescent="0.25" r="26" customHeight="1" ht="18.75">
      <c r="A26" s="6">
        <v>318</v>
      </c>
      <c r="B26" s="7" t="s">
        <v>42</v>
      </c>
      <c r="C26" s="7" t="s">
        <v>9</v>
      </c>
      <c r="D26" s="8">
        <v>829</v>
      </c>
      <c r="E26" s="8">
        <v>167</v>
      </c>
      <c r="F26" s="8">
        <v>0</v>
      </c>
      <c r="G26" s="9">
        <f> E26/D26</f>
      </c>
      <c r="H26" s="9">
        <f>F26/D26</f>
      </c>
      <c r="I26" s="9"/>
      <c r="J26" s="7"/>
      <c r="K26" s="7"/>
      <c r="L26" s="7"/>
    </row>
    <row x14ac:dyDescent="0.25" r="27" customHeight="1" ht="18.75">
      <c r="A27" s="6">
        <v>76</v>
      </c>
      <c r="B27" s="7" t="s">
        <v>43</v>
      </c>
      <c r="C27" s="7" t="s">
        <v>21</v>
      </c>
      <c r="D27" s="8">
        <v>804</v>
      </c>
      <c r="E27" s="8">
        <v>97</v>
      </c>
      <c r="F27" s="8">
        <v>86</v>
      </c>
      <c r="G27" s="9">
        <f> E27/D27</f>
      </c>
      <c r="H27" s="9">
        <f>F27/D27</f>
      </c>
      <c r="I27" s="9"/>
      <c r="J27" s="7"/>
      <c r="K27" s="7"/>
      <c r="L27" s="7"/>
    </row>
    <row x14ac:dyDescent="0.25" r="28" customHeight="1" ht="18.75">
      <c r="A28" s="6">
        <v>291</v>
      </c>
      <c r="B28" s="7" t="s">
        <v>44</v>
      </c>
      <c r="C28" s="7" t="s">
        <v>18</v>
      </c>
      <c r="D28" s="8">
        <v>781</v>
      </c>
      <c r="E28" s="8">
        <v>164</v>
      </c>
      <c r="F28" s="8">
        <v>124</v>
      </c>
      <c r="G28" s="9">
        <f> E28/D28</f>
      </c>
      <c r="H28" s="9">
        <f>F28/D28</f>
      </c>
      <c r="I28" s="9"/>
      <c r="J28" s="7"/>
      <c r="K28" s="7"/>
      <c r="L28" s="7"/>
    </row>
    <row x14ac:dyDescent="0.25" r="29" customHeight="1" ht="18.75">
      <c r="A29" s="6">
        <v>202</v>
      </c>
      <c r="B29" s="7" t="s">
        <v>53</v>
      </c>
      <c r="C29" s="7" t="s">
        <v>54</v>
      </c>
      <c r="D29" s="8">
        <v>772</v>
      </c>
      <c r="E29" s="8">
        <v>0</v>
      </c>
      <c r="F29" s="8">
        <v>23</v>
      </c>
      <c r="G29" s="9">
        <f> E29/D29</f>
      </c>
      <c r="H29" s="9">
        <f>F29/D29</f>
      </c>
      <c r="I29" s="9"/>
      <c r="J29" s="7"/>
      <c r="K29" s="7"/>
      <c r="L29" s="7"/>
    </row>
    <row x14ac:dyDescent="0.25" r="30" customHeight="1" ht="18.75">
      <c r="A30" s="6">
        <v>252</v>
      </c>
      <c r="B30" s="7" t="s">
        <v>46</v>
      </c>
      <c r="C30" s="7" t="s">
        <v>15</v>
      </c>
      <c r="D30" s="8">
        <v>751</v>
      </c>
      <c r="E30" s="8">
        <v>72</v>
      </c>
      <c r="F30" s="8">
        <v>0</v>
      </c>
      <c r="G30" s="9">
        <f> E30/D30</f>
      </c>
      <c r="H30" s="9">
        <f>F30/D30</f>
      </c>
      <c r="I30" s="9"/>
      <c r="J30" s="7"/>
      <c r="K30" s="7"/>
      <c r="L30" s="7"/>
    </row>
    <row x14ac:dyDescent="0.25" r="31" customHeight="1" ht="14.25">
      <c r="A31" s="6">
        <v>140</v>
      </c>
      <c r="B31" s="7" t="s">
        <v>45</v>
      </c>
      <c r="C31" s="7" t="s">
        <v>21</v>
      </c>
      <c r="D31" s="8">
        <v>751</v>
      </c>
      <c r="E31" s="8">
        <v>90</v>
      </c>
      <c r="F31" s="8">
        <v>71</v>
      </c>
      <c r="G31" s="9">
        <f> E31/D31</f>
      </c>
      <c r="H31" s="9">
        <f>F31/D31</f>
      </c>
      <c r="I31" s="9"/>
      <c r="J31" s="7"/>
      <c r="K31" s="7"/>
      <c r="L31" s="7"/>
    </row>
    <row x14ac:dyDescent="0.25" r="32" customHeight="1" ht="18.75">
      <c r="A32" s="6">
        <v>223</v>
      </c>
      <c r="B32" s="7" t="s">
        <v>47</v>
      </c>
      <c r="C32" s="7" t="s">
        <v>48</v>
      </c>
      <c r="D32" s="8">
        <v>687</v>
      </c>
      <c r="E32" s="8">
        <v>220</v>
      </c>
      <c r="F32" s="8">
        <v>192</v>
      </c>
      <c r="G32" s="9">
        <f> E32/D32</f>
      </c>
      <c r="H32" s="9">
        <f>F32/D32</f>
      </c>
      <c r="I32" s="9"/>
      <c r="J32" s="7"/>
      <c r="K32" s="7"/>
      <c r="L32" s="7"/>
    </row>
    <row x14ac:dyDescent="0.25" r="33" customHeight="1" ht="14.25">
      <c r="A33" s="6">
        <v>221</v>
      </c>
      <c r="B33" s="7" t="s">
        <v>16</v>
      </c>
      <c r="C33" s="7" t="s">
        <v>15</v>
      </c>
      <c r="D33" s="8">
        <v>686</v>
      </c>
      <c r="E33" s="8">
        <v>9</v>
      </c>
      <c r="F33" s="8">
        <v>0</v>
      </c>
      <c r="G33" s="9">
        <f> E33/D33</f>
      </c>
      <c r="H33" s="9">
        <f>F33/D33</f>
      </c>
      <c r="I33" s="9"/>
      <c r="J33" s="7"/>
      <c r="K33" s="7"/>
      <c r="L33" s="7"/>
    </row>
    <row x14ac:dyDescent="0.25" r="34" customHeight="1" ht="18.75">
      <c r="A34" s="6">
        <v>95</v>
      </c>
      <c r="B34" s="7" t="s">
        <v>51</v>
      </c>
      <c r="C34" s="7" t="s">
        <v>9</v>
      </c>
      <c r="D34" s="8">
        <v>609</v>
      </c>
      <c r="E34" s="8">
        <v>157</v>
      </c>
      <c r="F34" s="8">
        <v>107</v>
      </c>
      <c r="G34" s="9">
        <f> E34/D34</f>
      </c>
      <c r="H34" s="9">
        <f>F34/D34</f>
      </c>
      <c r="I34" s="9"/>
      <c r="J34" s="7"/>
      <c r="K34" s="7"/>
      <c r="L34" s="7"/>
    </row>
    <row x14ac:dyDescent="0.25" r="35" customHeight="1" ht="14.25">
      <c r="A35" s="6">
        <v>121</v>
      </c>
      <c r="B35" s="7" t="s">
        <v>52</v>
      </c>
      <c r="C35" s="7" t="s">
        <v>23</v>
      </c>
      <c r="D35" s="8">
        <v>582</v>
      </c>
      <c r="E35" s="8">
        <v>213</v>
      </c>
      <c r="F35" s="8">
        <v>187</v>
      </c>
      <c r="G35" s="9">
        <f> E35/D35</f>
      </c>
      <c r="H35" s="9">
        <f>F35/D35</f>
      </c>
      <c r="I35" s="9"/>
      <c r="J35" s="7"/>
      <c r="K35" s="7"/>
      <c r="L35" s="7"/>
    </row>
    <row x14ac:dyDescent="0.25" r="36" customHeight="1" ht="14.25">
      <c r="A36" s="6">
        <v>268</v>
      </c>
      <c r="B36" s="7" t="s">
        <v>55</v>
      </c>
      <c r="C36" s="7" t="s">
        <v>26</v>
      </c>
      <c r="D36" s="8">
        <v>457</v>
      </c>
      <c r="E36" s="8">
        <v>62</v>
      </c>
      <c r="F36" s="8">
        <v>54</v>
      </c>
      <c r="G36" s="9">
        <f> E36/D36</f>
      </c>
      <c r="H36" s="9">
        <f>F36/D36</f>
      </c>
      <c r="I36" s="9"/>
      <c r="J36" s="7"/>
      <c r="K36" s="7"/>
      <c r="L36" s="7"/>
    </row>
    <row x14ac:dyDescent="0.25" r="37" customHeight="1" ht="18.75">
      <c r="A37" s="6">
        <v>199</v>
      </c>
      <c r="B37" s="7" t="s">
        <v>71</v>
      </c>
      <c r="C37" s="7" t="s">
        <v>54</v>
      </c>
      <c r="D37" s="8">
        <v>434</v>
      </c>
      <c r="E37" s="8">
        <v>90</v>
      </c>
      <c r="F37" s="8">
        <v>71</v>
      </c>
      <c r="G37" s="9">
        <f> E37/D37</f>
      </c>
      <c r="H37" s="9">
        <f>F37/D37</f>
      </c>
      <c r="I37" s="9"/>
      <c r="J37" s="7"/>
      <c r="K37" s="7"/>
      <c r="L37" s="7"/>
    </row>
    <row x14ac:dyDescent="0.25" r="38" customHeight="1" ht="18.75">
      <c r="A38" s="6">
        <v>251</v>
      </c>
      <c r="B38" s="7" t="s">
        <v>56</v>
      </c>
      <c r="C38" s="7" t="s">
        <v>40</v>
      </c>
      <c r="D38" s="8">
        <v>394</v>
      </c>
      <c r="E38" s="8">
        <v>76</v>
      </c>
      <c r="F38" s="8">
        <v>88</v>
      </c>
      <c r="G38" s="9">
        <f> E38/D38</f>
      </c>
      <c r="H38" s="9">
        <f>F38/D38</f>
      </c>
      <c r="I38" s="9"/>
      <c r="J38" s="7"/>
      <c r="K38" s="7"/>
      <c r="L38" s="7"/>
    </row>
    <row x14ac:dyDescent="0.25" r="39" customHeight="1" ht="18.75">
      <c r="A39" s="6">
        <v>228</v>
      </c>
      <c r="B39" s="7" t="s">
        <v>41</v>
      </c>
      <c r="C39" s="7" t="s">
        <v>9</v>
      </c>
      <c r="D39" s="8">
        <v>354</v>
      </c>
      <c r="E39" s="8">
        <v>45</v>
      </c>
      <c r="F39" s="8">
        <v>46</v>
      </c>
      <c r="G39" s="9">
        <f> E39/D39</f>
      </c>
      <c r="H39" s="9">
        <f>F39/D39</f>
      </c>
      <c r="I39" s="9"/>
      <c r="J39" s="7"/>
      <c r="K39" s="7"/>
      <c r="L39" s="7"/>
    </row>
    <row x14ac:dyDescent="0.25" r="40" customHeight="1" ht="18.75">
      <c r="A40" s="6">
        <v>136</v>
      </c>
      <c r="B40" s="7" t="s">
        <v>58</v>
      </c>
      <c r="C40" s="7" t="s">
        <v>21</v>
      </c>
      <c r="D40" s="8">
        <v>332</v>
      </c>
      <c r="E40" s="8">
        <v>43</v>
      </c>
      <c r="F40" s="8">
        <v>34</v>
      </c>
      <c r="G40" s="9">
        <f> E40/D40</f>
      </c>
      <c r="H40" s="9">
        <f>F40/D40</f>
      </c>
      <c r="I40" s="9"/>
      <c r="J40" s="7"/>
      <c r="K40" s="7"/>
      <c r="L40" s="7"/>
    </row>
    <row x14ac:dyDescent="0.25" r="41" customHeight="1" ht="18.75">
      <c r="A41" s="6">
        <v>234</v>
      </c>
      <c r="B41" s="7" t="s">
        <v>59</v>
      </c>
      <c r="C41" s="7" t="s">
        <v>40</v>
      </c>
      <c r="D41" s="8">
        <v>326</v>
      </c>
      <c r="E41" s="8">
        <v>35</v>
      </c>
      <c r="F41" s="8">
        <v>33</v>
      </c>
      <c r="G41" s="9">
        <f> E41/D41</f>
      </c>
      <c r="H41" s="9">
        <f>F41/D41</f>
      </c>
      <c r="I41" s="9"/>
      <c r="J41" s="7"/>
      <c r="K41" s="7"/>
      <c r="L41" s="7"/>
    </row>
    <row x14ac:dyDescent="0.25" r="42" customHeight="1" ht="18.75">
      <c r="A42" s="6">
        <v>259</v>
      </c>
      <c r="B42" s="7" t="s">
        <v>60</v>
      </c>
      <c r="C42" s="7" t="s">
        <v>54</v>
      </c>
      <c r="D42" s="8">
        <v>283</v>
      </c>
      <c r="E42" s="8">
        <v>64</v>
      </c>
      <c r="F42" s="8">
        <v>47</v>
      </c>
      <c r="G42" s="9">
        <f> E42/D42</f>
      </c>
      <c r="H42" s="9">
        <f>F42/D42</f>
      </c>
      <c r="I42" s="9"/>
      <c r="J42" s="7"/>
      <c r="K42" s="7"/>
      <c r="L42" s="7"/>
    </row>
    <row x14ac:dyDescent="0.25" r="43" customHeight="1" ht="18.75">
      <c r="A43" s="6">
        <v>255</v>
      </c>
      <c r="B43" s="7" t="s">
        <v>61</v>
      </c>
      <c r="C43" s="7" t="s">
        <v>9</v>
      </c>
      <c r="D43" s="8">
        <v>274</v>
      </c>
      <c r="E43" s="8">
        <v>26</v>
      </c>
      <c r="F43" s="8">
        <v>19</v>
      </c>
      <c r="G43" s="9">
        <f> E43/D43</f>
      </c>
      <c r="H43" s="9">
        <f>F43/D43</f>
      </c>
      <c r="I43" s="9"/>
      <c r="J43" s="7"/>
      <c r="K43" s="7"/>
      <c r="L43" s="10"/>
    </row>
    <row x14ac:dyDescent="0.25" r="44" customHeight="1" ht="18.75">
      <c r="A44" s="6">
        <v>282</v>
      </c>
      <c r="B44" s="7" t="s">
        <v>62</v>
      </c>
      <c r="C44" s="7" t="s">
        <v>54</v>
      </c>
      <c r="D44" s="8">
        <v>238</v>
      </c>
      <c r="E44" s="8">
        <v>35</v>
      </c>
      <c r="F44" s="8">
        <v>29</v>
      </c>
      <c r="G44" s="9">
        <f> E44/D44</f>
      </c>
      <c r="H44" s="9">
        <f>F44/D44</f>
      </c>
      <c r="I44" s="9"/>
      <c r="J44" s="7"/>
      <c r="K44" s="7"/>
      <c r="L44" s="10"/>
    </row>
    <row x14ac:dyDescent="0.25" r="45" customHeight="1" ht="18.75">
      <c r="A45" s="6">
        <v>176</v>
      </c>
      <c r="B45" s="7" t="s">
        <v>65</v>
      </c>
      <c r="C45" s="7" t="s">
        <v>18</v>
      </c>
      <c r="D45" s="8">
        <v>184</v>
      </c>
      <c r="E45" s="8">
        <v>33</v>
      </c>
      <c r="F45" s="8">
        <v>0</v>
      </c>
      <c r="G45" s="9">
        <f> E45/D45</f>
      </c>
      <c r="H45" s="9">
        <f>F45/D45</f>
      </c>
      <c r="I45" s="9"/>
      <c r="J45" s="7"/>
      <c r="K45" s="7"/>
      <c r="L45" s="10"/>
    </row>
    <row x14ac:dyDescent="0.25" r="46" customHeight="1" ht="18.75">
      <c r="A46" s="6">
        <v>236</v>
      </c>
      <c r="B46" s="7" t="s">
        <v>67</v>
      </c>
      <c r="C46" s="7" t="s">
        <v>12</v>
      </c>
      <c r="D46" s="8">
        <v>182</v>
      </c>
      <c r="E46" s="8">
        <v>21</v>
      </c>
      <c r="F46" s="8">
        <v>24</v>
      </c>
      <c r="G46" s="9">
        <f> E46/D46</f>
      </c>
      <c r="H46" s="9">
        <f>F46/D46</f>
      </c>
      <c r="I46" s="9"/>
      <c r="J46" s="7"/>
      <c r="K46" s="7"/>
      <c r="L46" s="10"/>
    </row>
    <row x14ac:dyDescent="0.25" r="47" customHeight="1" ht="18.75">
      <c r="A47" s="6">
        <v>237</v>
      </c>
      <c r="B47" s="7" t="s">
        <v>69</v>
      </c>
      <c r="C47" s="7" t="s">
        <v>12</v>
      </c>
      <c r="D47" s="8">
        <v>152</v>
      </c>
      <c r="E47" s="8">
        <v>7</v>
      </c>
      <c r="F47" s="8">
        <v>8</v>
      </c>
      <c r="G47" s="9">
        <f> E47/D47</f>
      </c>
      <c r="H47" s="9">
        <f>F47/D47</f>
      </c>
      <c r="I47" s="9"/>
      <c r="J47" s="7"/>
      <c r="K47" s="7"/>
      <c r="L47" s="10"/>
    </row>
    <row x14ac:dyDescent="0.25" r="48" customHeight="1" ht="18.75">
      <c r="A48" s="6">
        <v>50</v>
      </c>
      <c r="B48" s="7" t="s">
        <v>63</v>
      </c>
      <c r="C48" s="7" t="s">
        <v>40</v>
      </c>
      <c r="D48" s="8">
        <v>134</v>
      </c>
      <c r="E48" s="8">
        <v>1</v>
      </c>
      <c r="F48" s="8">
        <v>1</v>
      </c>
      <c r="G48" s="9">
        <f> E48/D48</f>
      </c>
      <c r="H48" s="9">
        <f>F48/D48</f>
      </c>
      <c r="I48" s="9"/>
      <c r="J48" s="7"/>
      <c r="K48" s="7"/>
      <c r="L48" s="10"/>
    </row>
    <row x14ac:dyDescent="0.25" r="49" customHeight="1" ht="18.75">
      <c r="A49" s="6">
        <v>41</v>
      </c>
      <c r="B49" s="7" t="s">
        <v>68</v>
      </c>
      <c r="C49" s="7" t="s">
        <v>12</v>
      </c>
      <c r="D49" s="8">
        <v>128</v>
      </c>
      <c r="E49" s="6">
        <v>0</v>
      </c>
      <c r="F49" s="6">
        <v>0</v>
      </c>
      <c r="G49" s="9">
        <f> E49/D49</f>
      </c>
      <c r="H49" s="9">
        <f>F49/D49</f>
      </c>
      <c r="I49" s="9"/>
      <c r="J49" s="7"/>
      <c r="K49" s="7"/>
      <c r="L49" s="10"/>
    </row>
    <row x14ac:dyDescent="0.25" r="50" customHeight="1" ht="18.75">
      <c r="A50" s="6">
        <v>75</v>
      </c>
      <c r="B50" s="7" t="s">
        <v>73</v>
      </c>
      <c r="C50" s="7" t="s">
        <v>21</v>
      </c>
      <c r="D50" s="8">
        <v>121</v>
      </c>
      <c r="E50" s="8">
        <v>9</v>
      </c>
      <c r="F50" s="8">
        <v>4</v>
      </c>
      <c r="G50" s="9">
        <f> E50/D50</f>
      </c>
      <c r="H50" s="9">
        <f>F50/D50</f>
      </c>
      <c r="I50" s="9"/>
      <c r="J50" s="7"/>
      <c r="K50" s="7"/>
      <c r="L50" s="10"/>
    </row>
    <row x14ac:dyDescent="0.25" r="51" customHeight="1" ht="18.75">
      <c r="A51" s="6">
        <v>274</v>
      </c>
      <c r="B51" s="7" t="s">
        <v>72</v>
      </c>
      <c r="C51" s="7" t="s">
        <v>54</v>
      </c>
      <c r="D51" s="8">
        <v>118</v>
      </c>
      <c r="E51" s="8">
        <v>22</v>
      </c>
      <c r="F51" s="8">
        <v>21</v>
      </c>
      <c r="G51" s="9">
        <f> E51/D51</f>
      </c>
      <c r="H51" s="9">
        <f>F51/D51</f>
      </c>
      <c r="I51" s="9"/>
      <c r="J51" s="7"/>
      <c r="K51" s="7"/>
      <c r="L51" s="10"/>
    </row>
    <row x14ac:dyDescent="0.25" r="52" customHeight="1" ht="18.75">
      <c r="A52" s="6">
        <v>373</v>
      </c>
      <c r="B52" s="10" t="s">
        <v>70</v>
      </c>
      <c r="C52" s="10" t="s">
        <v>9</v>
      </c>
      <c r="D52" s="8">
        <v>105</v>
      </c>
      <c r="E52" s="8">
        <v>0</v>
      </c>
      <c r="F52" s="8">
        <v>8</v>
      </c>
      <c r="G52" s="9">
        <f> E52/D52</f>
      </c>
      <c r="H52" s="9">
        <f>F52/D52</f>
      </c>
      <c r="I52" s="9"/>
      <c r="J52" s="7"/>
      <c r="K52" s="7"/>
      <c r="L52" s="10"/>
    </row>
    <row x14ac:dyDescent="0.25" r="53" customHeight="1" ht="18.75">
      <c r="A53" s="6">
        <v>241</v>
      </c>
      <c r="B53" s="7" t="s">
        <v>74</v>
      </c>
      <c r="C53" s="7" t="s">
        <v>12</v>
      </c>
      <c r="D53" s="8">
        <v>104</v>
      </c>
      <c r="E53" s="8">
        <v>11</v>
      </c>
      <c r="F53" s="8">
        <v>14</v>
      </c>
      <c r="G53" s="9">
        <f> E53/D53</f>
      </c>
      <c r="H53" s="9">
        <f>F53/D53</f>
      </c>
      <c r="I53" s="9"/>
      <c r="J53" s="7"/>
      <c r="K53" s="7"/>
      <c r="L53" s="10"/>
    </row>
    <row x14ac:dyDescent="0.25" r="54" customHeight="1" ht="18.75">
      <c r="A54" s="6">
        <v>243</v>
      </c>
      <c r="B54" s="7" t="s">
        <v>75</v>
      </c>
      <c r="C54" s="7" t="s">
        <v>12</v>
      </c>
      <c r="D54" s="8">
        <v>89</v>
      </c>
      <c r="E54" s="8">
        <v>12</v>
      </c>
      <c r="F54" s="8">
        <v>11</v>
      </c>
      <c r="G54" s="9">
        <f> E54/D54</f>
      </c>
      <c r="H54" s="9">
        <f>F54/D54</f>
      </c>
      <c r="I54" s="9"/>
      <c r="J54" s="7"/>
      <c r="K54" s="7"/>
      <c r="L54" s="10"/>
    </row>
    <row x14ac:dyDescent="0.25" r="55" customHeight="1" ht="18.75">
      <c r="A55" s="6">
        <v>250</v>
      </c>
      <c r="B55" s="7" t="s">
        <v>76</v>
      </c>
      <c r="C55" s="7" t="s">
        <v>54</v>
      </c>
      <c r="D55" s="8">
        <v>76</v>
      </c>
      <c r="E55" s="8">
        <v>4</v>
      </c>
      <c r="F55" s="8">
        <v>5</v>
      </c>
      <c r="G55" s="9">
        <f> E55/D55</f>
      </c>
      <c r="H55" s="9">
        <f>F55/D55</f>
      </c>
      <c r="I55" s="9"/>
      <c r="J55" s="7"/>
      <c r="K55" s="7"/>
      <c r="L55" s="10"/>
    </row>
    <row x14ac:dyDescent="0.25" r="56" customHeight="1" ht="18.75">
      <c r="A56" s="6">
        <v>242</v>
      </c>
      <c r="B56" s="7" t="s">
        <v>77</v>
      </c>
      <c r="C56" s="7" t="s">
        <v>12</v>
      </c>
      <c r="D56" s="8">
        <v>68</v>
      </c>
      <c r="E56" s="8">
        <v>7</v>
      </c>
      <c r="F56" s="8">
        <v>8</v>
      </c>
      <c r="G56" s="9">
        <f> E56/D56</f>
      </c>
      <c r="H56" s="9">
        <f>F56/D56</f>
      </c>
      <c r="I56" s="9"/>
      <c r="J56" s="7"/>
      <c r="K56" s="7"/>
      <c r="L56" s="10"/>
    </row>
    <row x14ac:dyDescent="0.25" r="57" customHeight="1" ht="18.75">
      <c r="A57" s="6">
        <v>43</v>
      </c>
      <c r="B57" s="7" t="s">
        <v>50</v>
      </c>
      <c r="C57" s="7" t="s">
        <v>12</v>
      </c>
      <c r="D57" s="8">
        <v>67</v>
      </c>
      <c r="E57" s="6">
        <v>0</v>
      </c>
      <c r="F57" s="6">
        <v>0</v>
      </c>
      <c r="G57" s="9">
        <f> E57/D57</f>
      </c>
      <c r="H57" s="9">
        <f>F57/D57</f>
      </c>
      <c r="I57" s="9"/>
      <c r="J57" s="7"/>
      <c r="K57" s="7"/>
      <c r="L57" s="10"/>
    </row>
    <row x14ac:dyDescent="0.25" r="58" customHeight="1" ht="18.75">
      <c r="A58" s="6">
        <v>235</v>
      </c>
      <c r="B58" s="7" t="s">
        <v>64</v>
      </c>
      <c r="C58" s="7" t="s">
        <v>40</v>
      </c>
      <c r="D58" s="8">
        <v>52</v>
      </c>
      <c r="E58" s="8">
        <v>1</v>
      </c>
      <c r="F58" s="8">
        <v>1</v>
      </c>
      <c r="G58" s="9">
        <f> E58/D58</f>
      </c>
      <c r="H58" s="9">
        <f>F58/D58</f>
      </c>
      <c r="I58" s="9"/>
      <c r="J58" s="7"/>
      <c r="K58" s="7"/>
      <c r="L58" s="10"/>
    </row>
    <row x14ac:dyDescent="0.25" r="59" customHeight="1" ht="18.75">
      <c r="A59" s="6">
        <v>53</v>
      </c>
      <c r="B59" s="7" t="s">
        <v>66</v>
      </c>
      <c r="C59" s="7" t="s">
        <v>12</v>
      </c>
      <c r="D59" s="8">
        <v>38</v>
      </c>
      <c r="E59" s="6">
        <v>0</v>
      </c>
      <c r="F59" s="6">
        <v>0</v>
      </c>
      <c r="G59" s="9">
        <f> E59/D59</f>
      </c>
      <c r="H59" s="9">
        <f>F59/D59</f>
      </c>
      <c r="I59" s="9"/>
      <c r="J59" s="7"/>
      <c r="K59" s="7"/>
      <c r="L59" s="10"/>
    </row>
    <row x14ac:dyDescent="0.25" r="60" customHeight="1" ht="18.75">
      <c r="A60" s="6">
        <v>231</v>
      </c>
      <c r="B60" s="7" t="s">
        <v>35</v>
      </c>
      <c r="C60" s="7" t="s">
        <v>12</v>
      </c>
      <c r="D60" s="8">
        <v>12</v>
      </c>
      <c r="E60" s="8">
        <v>1</v>
      </c>
      <c r="F60" s="8">
        <v>1</v>
      </c>
      <c r="G60" s="9">
        <f> E60/D60</f>
      </c>
      <c r="H60" s="9">
        <f>F60/D60</f>
      </c>
      <c r="I60" s="9"/>
      <c r="J60" s="7"/>
      <c r="K60" s="7"/>
      <c r="L60" s="10"/>
    </row>
    <row x14ac:dyDescent="0.25" r="61" customHeight="1" ht="18.75">
      <c r="A61" s="28">
        <v>56</v>
      </c>
      <c r="B61" s="29" t="s">
        <v>96</v>
      </c>
      <c r="C61" s="29" t="s">
        <v>54</v>
      </c>
      <c r="D61" s="8">
        <v>3505</v>
      </c>
      <c r="E61" s="8">
        <v>708</v>
      </c>
      <c r="F61" s="8">
        <v>569</v>
      </c>
      <c r="G61" s="9">
        <f> E61/D61</f>
      </c>
      <c r="H61" s="9">
        <f>F61/D61</f>
      </c>
      <c r="I61" s="9"/>
      <c r="J61" s="7"/>
      <c r="K61" s="7"/>
      <c r="L61" s="7"/>
    </row>
    <row x14ac:dyDescent="0.25" r="62" customHeight="1" ht="14.25">
      <c r="A62" s="28">
        <v>80</v>
      </c>
      <c r="B62" s="29" t="s">
        <v>98</v>
      </c>
      <c r="C62" s="29" t="s">
        <v>54</v>
      </c>
      <c r="D62" s="8">
        <v>477</v>
      </c>
      <c r="E62" s="8">
        <v>185</v>
      </c>
      <c r="F62" s="8">
        <v>164</v>
      </c>
      <c r="G62" s="9">
        <f> E62/D62</f>
      </c>
      <c r="H62" s="9">
        <f>F62/D62</f>
      </c>
      <c r="I62" s="9"/>
      <c r="J62" s="7"/>
      <c r="K62" s="7"/>
      <c r="L62" s="7"/>
    </row>
    <row x14ac:dyDescent="0.25" r="63" customHeight="1" ht="18.75">
      <c r="A63" s="28">
        <v>10</v>
      </c>
      <c r="B63" s="29" t="s">
        <v>97</v>
      </c>
      <c r="C63" s="29" t="s">
        <v>54</v>
      </c>
      <c r="D63" s="8">
        <v>597</v>
      </c>
      <c r="E63" s="8">
        <v>177</v>
      </c>
      <c r="F63" s="8">
        <v>166</v>
      </c>
      <c r="G63" s="9">
        <f> E63/D63</f>
      </c>
      <c r="H63" s="9">
        <f>F63/D63</f>
      </c>
      <c r="I63" s="9"/>
      <c r="J63" s="7"/>
      <c r="K63" s="7"/>
      <c r="L63" s="7"/>
    </row>
    <row x14ac:dyDescent="0.25" r="64" customHeight="1" ht="18.75">
      <c r="A64" s="30">
        <v>215</v>
      </c>
      <c r="B64" s="31" t="s">
        <v>99</v>
      </c>
      <c r="C64" s="31" t="s">
        <v>54</v>
      </c>
      <c r="D64" s="8">
        <v>3721</v>
      </c>
      <c r="E64" s="8">
        <v>478</v>
      </c>
      <c r="F64" s="8">
        <v>295</v>
      </c>
      <c r="G64" s="9">
        <f> E64/D64</f>
      </c>
      <c r="H64" s="9">
        <f>F64/D64</f>
      </c>
      <c r="I64" s="9"/>
      <c r="J64" s="7"/>
      <c r="K64" s="7"/>
      <c r="L64" s="7"/>
    </row>
    <row x14ac:dyDescent="0.25" r="65" customHeight="1" ht="18.75">
      <c r="A65" s="16">
        <v>100</v>
      </c>
      <c r="B65" s="17" t="s">
        <v>83</v>
      </c>
      <c r="C65" s="17" t="s">
        <v>26</v>
      </c>
      <c r="D65" s="8">
        <v>1184</v>
      </c>
      <c r="E65" s="8">
        <v>145</v>
      </c>
      <c r="F65" s="8">
        <v>136</v>
      </c>
      <c r="G65" s="9">
        <f> E65/D65</f>
      </c>
      <c r="H65" s="9">
        <f>F65/D65</f>
      </c>
      <c r="I65" s="9"/>
      <c r="J65" s="7"/>
      <c r="K65" s="7"/>
      <c r="L65" s="7"/>
    </row>
    <row x14ac:dyDescent="0.25" r="66" customHeight="1" ht="18.75">
      <c r="A66" s="16">
        <v>103</v>
      </c>
      <c r="B66" s="17" t="s">
        <v>84</v>
      </c>
      <c r="C66" s="17" t="s">
        <v>26</v>
      </c>
      <c r="D66" s="8">
        <v>248</v>
      </c>
      <c r="E66" s="8">
        <v>49</v>
      </c>
      <c r="F66" s="8">
        <v>51</v>
      </c>
      <c r="G66" s="9">
        <f> E66/D66</f>
      </c>
      <c r="H66" s="9">
        <f>F66/D66</f>
      </c>
      <c r="I66" s="9"/>
      <c r="J66" s="7"/>
      <c r="K66" s="7"/>
      <c r="L66" s="10"/>
    </row>
    <row x14ac:dyDescent="0.25" r="67" customHeight="1" ht="18.75">
      <c r="A67" s="16">
        <v>109</v>
      </c>
      <c r="B67" s="17" t="s">
        <v>85</v>
      </c>
      <c r="C67" s="17" t="s">
        <v>26</v>
      </c>
      <c r="D67" s="8">
        <v>1563</v>
      </c>
      <c r="E67" s="8">
        <v>138</v>
      </c>
      <c r="F67" s="8">
        <v>133</v>
      </c>
      <c r="G67" s="9">
        <f> E67/D67</f>
      </c>
      <c r="H67" s="9">
        <f>F67/D67</f>
      </c>
      <c r="I67" s="9"/>
      <c r="J67" s="7"/>
      <c r="K67" s="7"/>
      <c r="L67" s="7"/>
    </row>
    <row x14ac:dyDescent="0.25" r="68" customHeight="1" ht="18.75">
      <c r="A68" s="18">
        <v>214</v>
      </c>
      <c r="B68" s="19" t="s">
        <v>86</v>
      </c>
      <c r="C68" s="19" t="s">
        <v>26</v>
      </c>
      <c r="D68" s="8">
        <v>679</v>
      </c>
      <c r="E68" s="8">
        <v>0</v>
      </c>
      <c r="F68" s="8">
        <v>154</v>
      </c>
      <c r="G68" s="9">
        <f> E68/D68</f>
      </c>
      <c r="H68" s="9">
        <f>F68/D68</f>
      </c>
      <c r="I68" s="9"/>
      <c r="J68" s="7"/>
      <c r="K68" s="7"/>
      <c r="L68" s="7"/>
    </row>
    <row x14ac:dyDescent="0.25" r="69" customHeight="1" ht="18.75">
      <c r="A69" s="12">
        <v>6</v>
      </c>
      <c r="B69" s="13" t="s">
        <v>79</v>
      </c>
      <c r="C69" s="13" t="s">
        <v>40</v>
      </c>
      <c r="D69" s="8">
        <v>1512</v>
      </c>
      <c r="E69" s="8">
        <v>109</v>
      </c>
      <c r="F69" s="8">
        <v>86</v>
      </c>
      <c r="G69" s="9">
        <f> E69/D69</f>
      </c>
      <c r="H69" s="9">
        <f>F69/D69</f>
      </c>
      <c r="I69" s="9"/>
      <c r="J69" s="7"/>
      <c r="K69" s="7"/>
      <c r="L69" s="7"/>
    </row>
    <row x14ac:dyDescent="0.25" r="70" customHeight="1" ht="18.75">
      <c r="A70" s="12">
        <v>66</v>
      </c>
      <c r="B70" s="13" t="s">
        <v>80</v>
      </c>
      <c r="C70" s="13" t="s">
        <v>40</v>
      </c>
      <c r="D70" s="8">
        <v>368</v>
      </c>
      <c r="E70" s="8">
        <v>31</v>
      </c>
      <c r="F70" s="8">
        <v>34</v>
      </c>
      <c r="G70" s="9">
        <f> E70/D70</f>
      </c>
      <c r="H70" s="9">
        <f>F70/D70</f>
      </c>
      <c r="I70" s="9"/>
      <c r="J70" s="7"/>
      <c r="K70" s="7"/>
      <c r="L70" s="7"/>
    </row>
    <row x14ac:dyDescent="0.25" r="71" customHeight="1" ht="18.75">
      <c r="A71" s="12">
        <v>67</v>
      </c>
      <c r="B71" s="13" t="s">
        <v>81</v>
      </c>
      <c r="C71" s="13" t="s">
        <v>40</v>
      </c>
      <c r="D71" s="8">
        <v>267</v>
      </c>
      <c r="E71" s="8">
        <v>23</v>
      </c>
      <c r="F71" s="8">
        <v>22</v>
      </c>
      <c r="G71" s="9">
        <f> E71/D71</f>
      </c>
      <c r="H71" s="9">
        <f>F71/D71</f>
      </c>
      <c r="I71" s="9"/>
      <c r="J71" s="7"/>
      <c r="K71" s="7"/>
      <c r="L71" s="10"/>
    </row>
    <row x14ac:dyDescent="0.25" r="72" customHeight="1" ht="18.75">
      <c r="A72" s="14">
        <v>213</v>
      </c>
      <c r="B72" s="15" t="s">
        <v>82</v>
      </c>
      <c r="C72" s="15" t="s">
        <v>40</v>
      </c>
      <c r="D72" s="8">
        <v>698</v>
      </c>
      <c r="E72" s="8">
        <v>0</v>
      </c>
      <c r="F72" s="8">
        <v>32</v>
      </c>
      <c r="G72" s="9">
        <f> E72/D72</f>
      </c>
      <c r="H72" s="9">
        <f>F72/D72</f>
      </c>
      <c r="I72" s="9"/>
      <c r="J72" s="7"/>
      <c r="K72" s="7"/>
      <c r="L72" s="7"/>
    </row>
    <row x14ac:dyDescent="0.25" r="73" customHeight="1" ht="18.75">
      <c r="A73" s="20">
        <v>151</v>
      </c>
      <c r="B73" s="21" t="s">
        <v>87</v>
      </c>
      <c r="C73" s="21" t="s">
        <v>18</v>
      </c>
      <c r="D73" s="8">
        <v>388</v>
      </c>
      <c r="E73" s="8">
        <v>37</v>
      </c>
      <c r="F73" s="8">
        <v>36</v>
      </c>
      <c r="G73" s="9">
        <f> E73/D73</f>
      </c>
      <c r="H73" s="9">
        <f>F73/D73</f>
      </c>
      <c r="I73" s="9"/>
      <c r="J73" s="7"/>
      <c r="K73" s="7"/>
      <c r="L73" s="7"/>
    </row>
    <row x14ac:dyDescent="0.25" r="74" customHeight="1" ht="18.75">
      <c r="A74" s="20">
        <v>191</v>
      </c>
      <c r="B74" s="21" t="s">
        <v>88</v>
      </c>
      <c r="C74" s="21" t="s">
        <v>18</v>
      </c>
      <c r="D74" s="8">
        <v>237</v>
      </c>
      <c r="E74" s="8">
        <v>26</v>
      </c>
      <c r="F74" s="8">
        <v>25</v>
      </c>
      <c r="G74" s="9">
        <f> E74/D74</f>
      </c>
      <c r="H74" s="9">
        <f>F74/D74</f>
      </c>
      <c r="I74" s="9"/>
      <c r="J74" s="7"/>
      <c r="K74" s="7"/>
      <c r="L74" s="10"/>
    </row>
    <row x14ac:dyDescent="0.25" r="75" customHeight="1" ht="18.75">
      <c r="A75" s="20">
        <v>192</v>
      </c>
      <c r="B75" s="21" t="s">
        <v>90</v>
      </c>
      <c r="C75" s="21" t="s">
        <v>18</v>
      </c>
      <c r="D75" s="8">
        <v>190</v>
      </c>
      <c r="E75" s="8">
        <v>23</v>
      </c>
      <c r="F75" s="8">
        <v>20</v>
      </c>
      <c r="G75" s="9">
        <f> E75/D75</f>
      </c>
      <c r="H75" s="9">
        <f>F75/D75</f>
      </c>
      <c r="I75" s="9"/>
      <c r="J75" s="7"/>
      <c r="K75" s="7"/>
      <c r="L75" s="10"/>
    </row>
    <row x14ac:dyDescent="0.25" r="76" customHeight="1" ht="18.75">
      <c r="A76" s="22">
        <v>266</v>
      </c>
      <c r="B76" s="23" t="s">
        <v>89</v>
      </c>
      <c r="C76" s="23" t="s">
        <v>18</v>
      </c>
      <c r="D76" s="8">
        <v>369</v>
      </c>
      <c r="E76" s="8">
        <v>0</v>
      </c>
      <c r="F76" s="8">
        <v>18</v>
      </c>
      <c r="G76" s="9">
        <f> E76/D76</f>
      </c>
      <c r="H76" s="9">
        <f>F76/D76</f>
      </c>
      <c r="I76" s="9"/>
      <c r="J76" s="7"/>
      <c r="K76" s="7"/>
      <c r="L76" s="7"/>
    </row>
    <row x14ac:dyDescent="0.25" r="77" customHeight="1" ht="18.75">
      <c r="A77" s="24">
        <v>142</v>
      </c>
      <c r="B77" s="25" t="s">
        <v>91</v>
      </c>
      <c r="C77" s="25" t="s">
        <v>21</v>
      </c>
      <c r="D77" s="8">
        <v>389</v>
      </c>
      <c r="E77" s="8">
        <v>72</v>
      </c>
      <c r="F77" s="8">
        <v>64</v>
      </c>
      <c r="G77" s="9">
        <f> E77/D77</f>
      </c>
      <c r="H77" s="9">
        <f>F77/D77</f>
      </c>
      <c r="I77" s="9"/>
      <c r="J77" s="7"/>
      <c r="K77" s="7"/>
      <c r="L77" s="7"/>
    </row>
    <row x14ac:dyDescent="0.25" r="78" customHeight="1" ht="18.75">
      <c r="A78" s="24">
        <v>143</v>
      </c>
      <c r="B78" s="25" t="s">
        <v>92</v>
      </c>
      <c r="C78" s="25" t="s">
        <v>21</v>
      </c>
      <c r="D78" s="8">
        <v>130</v>
      </c>
      <c r="E78" s="8">
        <v>33</v>
      </c>
      <c r="F78" s="8">
        <v>34</v>
      </c>
      <c r="G78" s="9">
        <f> E78/D78</f>
      </c>
      <c r="H78" s="9">
        <f>F78/D78</f>
      </c>
      <c r="I78" s="9"/>
      <c r="J78" s="7"/>
      <c r="K78" s="7"/>
      <c r="L78" s="10"/>
    </row>
    <row x14ac:dyDescent="0.25" r="79" customHeight="1" ht="18.75">
      <c r="A79" s="24">
        <v>144</v>
      </c>
      <c r="B79" s="25" t="s">
        <v>93</v>
      </c>
      <c r="C79" s="25" t="s">
        <v>21</v>
      </c>
      <c r="D79" s="8">
        <v>145</v>
      </c>
      <c r="E79" s="8">
        <v>26</v>
      </c>
      <c r="F79" s="8">
        <v>31</v>
      </c>
      <c r="G79" s="9">
        <f> E79/D79</f>
      </c>
      <c r="H79" s="9">
        <f>F79/D79</f>
      </c>
      <c r="I79" s="9"/>
      <c r="J79" s="7"/>
      <c r="K79" s="7"/>
      <c r="L79" s="10"/>
    </row>
    <row x14ac:dyDescent="0.25" r="80" customHeight="1" ht="18.75">
      <c r="A80" s="24">
        <v>145</v>
      </c>
      <c r="B80" s="25" t="s">
        <v>94</v>
      </c>
      <c r="C80" s="25" t="s">
        <v>21</v>
      </c>
      <c r="D80" s="8">
        <v>173</v>
      </c>
      <c r="E80" s="8">
        <v>35</v>
      </c>
      <c r="F80" s="8">
        <v>32</v>
      </c>
      <c r="G80" s="9">
        <f> E80/D80</f>
      </c>
      <c r="H80" s="9">
        <f>F80/D80</f>
      </c>
      <c r="I80" s="9"/>
      <c r="J80" s="7"/>
      <c r="K80" s="7"/>
      <c r="L80" s="10"/>
    </row>
    <row x14ac:dyDescent="0.25" r="81" customHeight="1" ht="18.75">
      <c r="A81" s="26">
        <v>238</v>
      </c>
      <c r="B81" s="27" t="s">
        <v>95</v>
      </c>
      <c r="C81" s="27" t="s">
        <v>21</v>
      </c>
      <c r="D81" s="8">
        <v>260</v>
      </c>
      <c r="E81" s="8">
        <v>0</v>
      </c>
      <c r="F81" s="8">
        <v>21</v>
      </c>
      <c r="G81" s="9">
        <f> E81/D81</f>
      </c>
      <c r="H81" s="9">
        <f>F81/D81</f>
      </c>
      <c r="I81" s="9"/>
      <c r="J81" s="7"/>
      <c r="K81" s="7"/>
      <c r="L81" s="10"/>
    </row>
    <row x14ac:dyDescent="0.25" r="82" customHeight="1" ht="18.75">
      <c r="A82" s="32">
        <v>322</v>
      </c>
      <c r="B82" s="33" t="s">
        <v>100</v>
      </c>
      <c r="C82" s="33" t="s">
        <v>9</v>
      </c>
      <c r="D82" s="8">
        <v>3126</v>
      </c>
      <c r="E82" s="8">
        <v>919</v>
      </c>
      <c r="F82" s="8">
        <v>558</v>
      </c>
      <c r="G82" s="9">
        <f> E82/D82</f>
      </c>
      <c r="H82" s="9">
        <f>F82/D82</f>
      </c>
      <c r="I82" s="9"/>
      <c r="J82" s="7"/>
      <c r="K82" s="7"/>
      <c r="L82" s="7"/>
    </row>
    <row x14ac:dyDescent="0.25" r="83" customHeight="1" ht="14.25">
      <c r="A83" s="32">
        <v>329</v>
      </c>
      <c r="B83" s="33" t="s">
        <v>106</v>
      </c>
      <c r="C83" s="33" t="s">
        <v>40</v>
      </c>
      <c r="D83" s="8">
        <v>829</v>
      </c>
      <c r="E83" s="8">
        <v>342</v>
      </c>
      <c r="F83" s="8">
        <v>291</v>
      </c>
      <c r="G83" s="9">
        <f> E83/D83</f>
      </c>
      <c r="H83" s="9">
        <f>F83/D83</f>
      </c>
      <c r="I83" s="9"/>
      <c r="J83" s="7"/>
      <c r="K83" s="7"/>
      <c r="L83" s="7"/>
    </row>
    <row x14ac:dyDescent="0.25" r="84" customHeight="1" ht="14.25">
      <c r="A84" s="32">
        <v>331</v>
      </c>
      <c r="B84" s="33" t="s">
        <v>102</v>
      </c>
      <c r="C84" s="33" t="s">
        <v>23</v>
      </c>
      <c r="D84" s="8">
        <v>1086</v>
      </c>
      <c r="E84" s="8">
        <v>387</v>
      </c>
      <c r="F84" s="8">
        <v>331</v>
      </c>
      <c r="G84" s="9">
        <f> E84/D84</f>
      </c>
      <c r="H84" s="9">
        <f>F84/D84</f>
      </c>
      <c r="I84" s="9"/>
      <c r="J84" s="7"/>
      <c r="K84" s="7"/>
      <c r="L84" s="7"/>
    </row>
    <row x14ac:dyDescent="0.25" r="85" customHeight="1" ht="18.75">
      <c r="A85" s="32">
        <v>323</v>
      </c>
      <c r="B85" s="33" t="s">
        <v>104</v>
      </c>
      <c r="C85" s="33" t="s">
        <v>9</v>
      </c>
      <c r="D85" s="8">
        <v>565</v>
      </c>
      <c r="E85" s="8">
        <v>252</v>
      </c>
      <c r="F85" s="8">
        <v>214</v>
      </c>
      <c r="G85" s="9">
        <f> E85/D85</f>
      </c>
      <c r="H85" s="9">
        <f>F85/D85</f>
      </c>
      <c r="I85" s="9"/>
      <c r="J85" s="7"/>
      <c r="K85" s="7"/>
      <c r="L85" s="7"/>
    </row>
    <row x14ac:dyDescent="0.25" r="86" customHeight="1" ht="18.75">
      <c r="A86" s="32">
        <v>332</v>
      </c>
      <c r="B86" s="33" t="s">
        <v>101</v>
      </c>
      <c r="C86" s="33" t="s">
        <v>12</v>
      </c>
      <c r="D86" s="8">
        <v>1044</v>
      </c>
      <c r="E86" s="8">
        <v>370</v>
      </c>
      <c r="F86" s="8">
        <v>291</v>
      </c>
      <c r="G86" s="9">
        <f> E86/D86</f>
      </c>
      <c r="H86" s="9">
        <f>F86/D86</f>
      </c>
      <c r="I86" s="9"/>
      <c r="J86" s="7"/>
      <c r="K86" s="7"/>
      <c r="L86" s="7"/>
    </row>
    <row x14ac:dyDescent="0.25" r="87" customHeight="1" ht="18.75">
      <c r="A87" s="32">
        <v>330</v>
      </c>
      <c r="B87" s="33" t="s">
        <v>105</v>
      </c>
      <c r="C87" s="33" t="s">
        <v>9</v>
      </c>
      <c r="D87" s="8">
        <v>368</v>
      </c>
      <c r="E87" s="8">
        <v>186</v>
      </c>
      <c r="F87" s="8">
        <v>165</v>
      </c>
      <c r="G87" s="9">
        <f> E87/D87</f>
      </c>
      <c r="H87" s="9">
        <f>F87/D87</f>
      </c>
      <c r="I87" s="9"/>
      <c r="J87" s="7"/>
      <c r="K87" s="7"/>
      <c r="L87" s="7"/>
    </row>
    <row x14ac:dyDescent="0.25" r="88" customHeight="1" ht="18.75">
      <c r="A88" s="32">
        <v>362</v>
      </c>
      <c r="B88" s="33" t="s">
        <v>107</v>
      </c>
      <c r="C88" s="33" t="s">
        <v>9</v>
      </c>
      <c r="D88" s="8">
        <v>867</v>
      </c>
      <c r="E88" s="8">
        <v>0</v>
      </c>
      <c r="F88" s="8">
        <v>212</v>
      </c>
      <c r="G88" s="9">
        <f> E88/D88</f>
      </c>
      <c r="H88" s="9">
        <f>F88/D88</f>
      </c>
      <c r="I88" s="9"/>
      <c r="J88" s="7"/>
      <c r="K88" s="7"/>
      <c r="L88" s="7"/>
    </row>
    <row x14ac:dyDescent="0.25" r="89" customHeight="1" ht="18.75">
      <c r="A89" s="32">
        <v>386</v>
      </c>
      <c r="B89" s="33" t="s">
        <v>103</v>
      </c>
      <c r="C89" s="33" t="s">
        <v>9</v>
      </c>
      <c r="D89" s="8">
        <v>467</v>
      </c>
      <c r="E89" s="8">
        <v>17</v>
      </c>
      <c r="F89" s="8">
        <v>0</v>
      </c>
      <c r="G89" s="9">
        <f> E89/D89</f>
      </c>
      <c r="H89" s="9">
        <f>F89/D89</f>
      </c>
      <c r="I89" s="9"/>
      <c r="J89" s="7"/>
      <c r="K89" s="7"/>
      <c r="L89" s="7"/>
    </row>
    <row x14ac:dyDescent="0.25" r="90" customHeight="1" ht="18.75">
      <c r="A90" s="11"/>
      <c r="B90" s="10"/>
      <c r="C90" s="10"/>
      <c r="D90" s="11"/>
      <c r="E90" s="11"/>
      <c r="F90" s="11"/>
      <c r="G90" s="34"/>
      <c r="H90" s="34"/>
      <c r="I90" s="34"/>
      <c r="J90" s="10"/>
      <c r="K90" s="10"/>
      <c r="L90" s="10"/>
    </row>
    <row x14ac:dyDescent="0.25" r="91" customHeight="1" ht="18.75">
      <c r="A91" s="11"/>
      <c r="B91" s="10"/>
      <c r="C91" s="10"/>
      <c r="D91" s="11"/>
      <c r="E91" s="11"/>
      <c r="F91" s="11"/>
      <c r="G91" s="34"/>
      <c r="H91" s="34"/>
      <c r="I91" s="34"/>
      <c r="J91" s="10"/>
      <c r="K91" s="10"/>
      <c r="L91" s="10"/>
    </row>
  </sheetData>
  <mergeCells count="18">
    <mergeCell ref="K7:L7"/>
    <mergeCell ref="K8:L8"/>
    <mergeCell ref="K9:L9"/>
    <mergeCell ref="K12:L12"/>
    <mergeCell ref="K20:L20"/>
    <mergeCell ref="K23:L23"/>
    <mergeCell ref="K26:L26"/>
    <mergeCell ref="K27:L27"/>
    <mergeCell ref="K29:L29"/>
    <mergeCell ref="K32:L32"/>
    <mergeCell ref="K38:L38"/>
    <mergeCell ref="K64:L64"/>
    <mergeCell ref="K65:L65"/>
    <mergeCell ref="K67:L67"/>
    <mergeCell ref="K69:L69"/>
    <mergeCell ref="K73:L73"/>
    <mergeCell ref="K76:L76"/>
    <mergeCell ref="K84:L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2"/>
  <sheetViews>
    <sheetView workbookViewId="0" tabSelected="1"/>
  </sheetViews>
  <sheetFormatPr defaultRowHeight="15" x14ac:dyDescent="0.25"/>
  <cols>
    <col min="1" max="1" style="35" width="3.7192857142857143" customWidth="1" bestFit="1"/>
    <col min="2" max="2" style="36" width="38.57642857142857" customWidth="1" bestFit="1"/>
    <col min="3" max="3" style="36" width="30.290714285714284" customWidth="1" bestFit="1"/>
    <col min="4" max="4" style="35" width="30.576428571428572" customWidth="1" bestFit="1"/>
    <col min="5" max="5" style="35" width="44.29071428571429" customWidth="1" bestFit="1"/>
    <col min="6" max="6" style="35" width="42.29071428571429" customWidth="1" bestFit="1"/>
    <col min="7" max="7" style="37" width="26.576428571428572" customWidth="1" bestFit="1"/>
    <col min="8" max="8" style="37" width="21.719285714285714" customWidth="1" bestFit="1"/>
    <col min="9" max="9" style="37" width="12.576428571428572" customWidth="1" bestFit="1"/>
    <col min="10" max="10" style="36" width="20.719285714285714" customWidth="1" bestFit="1"/>
    <col min="11" max="11" style="36" width="12.147857142857141" customWidth="1" bestFit="1"/>
    <col min="12" max="12" style="36" width="13.576428571428572" customWidth="1" bestFit="1"/>
  </cols>
  <sheetData>
    <row x14ac:dyDescent="0.25" r="1" customHeight="1" ht="61.5" customFormat="1" s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/>
      <c r="J1" s="3"/>
      <c r="K1" s="3"/>
      <c r="L1" s="3"/>
    </row>
    <row x14ac:dyDescent="0.25" r="2" customHeight="1" ht="19.5">
      <c r="A2" s="6">
        <v>106</v>
      </c>
      <c r="B2" s="7" t="s">
        <v>8</v>
      </c>
      <c r="C2" s="7" t="s">
        <v>9</v>
      </c>
      <c r="D2" s="8">
        <v>14326</v>
      </c>
      <c r="E2" s="8">
        <v>2313</v>
      </c>
      <c r="F2" s="8">
        <v>1829</v>
      </c>
      <c r="G2" s="9">
        <f>E2/D2</f>
      </c>
      <c r="H2" s="9">
        <f>F2/D2</f>
      </c>
      <c r="I2" s="9"/>
      <c r="J2" s="7"/>
      <c r="K2" s="7"/>
      <c r="L2" s="7"/>
    </row>
    <row x14ac:dyDescent="0.25" r="3" customHeight="1" ht="19.5">
      <c r="A3" s="6">
        <v>99</v>
      </c>
      <c r="B3" s="7" t="s">
        <v>10</v>
      </c>
      <c r="C3" s="7" t="s">
        <v>9</v>
      </c>
      <c r="D3" s="8">
        <v>5883</v>
      </c>
      <c r="E3" s="8">
        <v>428</v>
      </c>
      <c r="F3" s="8">
        <v>303</v>
      </c>
      <c r="G3" s="9">
        <f>E3/D3</f>
      </c>
      <c r="H3" s="9">
        <f>F3/D3</f>
      </c>
      <c r="I3" s="9"/>
      <c r="J3" s="7"/>
      <c r="K3" s="7"/>
      <c r="L3" s="7"/>
    </row>
    <row x14ac:dyDescent="0.25" r="4" customHeight="1" ht="19.5">
      <c r="A4" s="6">
        <v>313</v>
      </c>
      <c r="B4" s="7" t="s">
        <v>11</v>
      </c>
      <c r="C4" s="7" t="s">
        <v>12</v>
      </c>
      <c r="D4" s="8">
        <v>4809</v>
      </c>
      <c r="E4" s="8">
        <v>1501</v>
      </c>
      <c r="F4" s="8">
        <v>1126</v>
      </c>
      <c r="G4" s="9">
        <f>E4/D4</f>
      </c>
      <c r="H4" s="9">
        <f>F4/D4</f>
      </c>
      <c r="I4" s="9"/>
      <c r="J4" s="7"/>
      <c r="K4" s="7"/>
      <c r="L4" s="7"/>
    </row>
    <row x14ac:dyDescent="0.25" r="5" customHeight="1" ht="19.5">
      <c r="A5" s="6">
        <v>197</v>
      </c>
      <c r="B5" s="7" t="s">
        <v>13</v>
      </c>
      <c r="C5" s="7" t="s">
        <v>12</v>
      </c>
      <c r="D5" s="8">
        <v>4305</v>
      </c>
      <c r="E5" s="8">
        <v>2239</v>
      </c>
      <c r="F5" s="8">
        <v>1985</v>
      </c>
      <c r="G5" s="9">
        <f>E5/D5</f>
      </c>
      <c r="H5" s="9">
        <f>F5/D5</f>
      </c>
      <c r="I5" s="9"/>
      <c r="J5" s="7"/>
      <c r="K5" s="7"/>
      <c r="L5" s="7"/>
    </row>
    <row x14ac:dyDescent="0.25" r="6" customHeight="1" ht="19.5">
      <c r="A6" s="6">
        <v>19</v>
      </c>
      <c r="B6" s="7" t="s">
        <v>14</v>
      </c>
      <c r="C6" s="7" t="s">
        <v>15</v>
      </c>
      <c r="D6" s="8">
        <v>4270</v>
      </c>
      <c r="E6" s="8">
        <v>635</v>
      </c>
      <c r="F6" s="8">
        <v>566</v>
      </c>
      <c r="G6" s="9">
        <f>E6/D6</f>
      </c>
      <c r="H6" s="9">
        <f>F6/D6</f>
      </c>
      <c r="I6" s="9"/>
      <c r="J6" s="7"/>
      <c r="K6" s="7"/>
      <c r="L6" s="7"/>
    </row>
    <row x14ac:dyDescent="0.25" r="7" customHeight="1" ht="19.5">
      <c r="A7" s="6">
        <v>221</v>
      </c>
      <c r="B7" s="7" t="s">
        <v>16</v>
      </c>
      <c r="C7" s="7" t="s">
        <v>15</v>
      </c>
      <c r="D7" s="8">
        <v>3921</v>
      </c>
      <c r="E7" s="8">
        <v>522</v>
      </c>
      <c r="F7" s="8">
        <v>341</v>
      </c>
      <c r="G7" s="9">
        <f>E7/D7</f>
      </c>
      <c r="H7" s="9">
        <f>F7/D7</f>
      </c>
      <c r="I7" s="9"/>
      <c r="J7" s="7"/>
      <c r="K7" s="7"/>
      <c r="L7" s="7"/>
    </row>
    <row x14ac:dyDescent="0.25" r="8" customHeight="1" ht="19.5">
      <c r="A8" s="6">
        <v>27</v>
      </c>
      <c r="B8" s="7" t="s">
        <v>17</v>
      </c>
      <c r="C8" s="7" t="s">
        <v>18</v>
      </c>
      <c r="D8" s="8">
        <v>3758</v>
      </c>
      <c r="E8" s="8">
        <v>310</v>
      </c>
      <c r="F8" s="8">
        <v>285</v>
      </c>
      <c r="G8" s="9">
        <f>E8/D8</f>
      </c>
      <c r="H8" s="9">
        <f>F8/D8</f>
      </c>
      <c r="I8" s="9"/>
      <c r="J8" s="7"/>
      <c r="K8" s="7"/>
      <c r="L8" s="7"/>
    </row>
    <row x14ac:dyDescent="0.25" r="9" customHeight="1" ht="19.5">
      <c r="A9" s="6">
        <v>58</v>
      </c>
      <c r="B9" s="7" t="s">
        <v>19</v>
      </c>
      <c r="C9" s="7" t="s">
        <v>12</v>
      </c>
      <c r="D9" s="8">
        <v>3646</v>
      </c>
      <c r="E9" s="8">
        <v>804</v>
      </c>
      <c r="F9" s="8">
        <v>250</v>
      </c>
      <c r="G9" s="9">
        <f>E9/D9</f>
      </c>
      <c r="H9" s="9">
        <f>F9/D9</f>
      </c>
      <c r="I9" s="9"/>
      <c r="J9" s="7"/>
      <c r="K9" s="7"/>
      <c r="L9" s="7"/>
    </row>
    <row x14ac:dyDescent="0.25" r="10" customHeight="1" ht="19.5">
      <c r="A10" s="6">
        <v>64</v>
      </c>
      <c r="B10" s="7" t="s">
        <v>20</v>
      </c>
      <c r="C10" s="7" t="s">
        <v>21</v>
      </c>
      <c r="D10" s="8">
        <v>2383</v>
      </c>
      <c r="E10" s="8">
        <v>440</v>
      </c>
      <c r="F10" s="8">
        <v>320</v>
      </c>
      <c r="G10" s="9">
        <f>E10/D10</f>
      </c>
      <c r="H10" s="9">
        <f>F10/D10</f>
      </c>
      <c r="I10" s="9"/>
      <c r="J10" s="7"/>
      <c r="K10" s="7"/>
      <c r="L10" s="7"/>
    </row>
    <row x14ac:dyDescent="0.25" r="11" customHeight="1" ht="19.5">
      <c r="A11" s="6">
        <v>141</v>
      </c>
      <c r="B11" s="7" t="s">
        <v>22</v>
      </c>
      <c r="C11" s="7" t="s">
        <v>23</v>
      </c>
      <c r="D11" s="8">
        <v>2210</v>
      </c>
      <c r="E11" s="8">
        <v>297</v>
      </c>
      <c r="F11" s="8">
        <v>235</v>
      </c>
      <c r="G11" s="9">
        <f>E11/D11</f>
      </c>
      <c r="H11" s="9">
        <f>F11/D11</f>
      </c>
      <c r="I11" s="9"/>
      <c r="J11" s="7"/>
      <c r="K11" s="7"/>
      <c r="L11" s="7"/>
    </row>
    <row x14ac:dyDescent="0.25" r="12" customHeight="1" ht="19.5">
      <c r="A12" s="6">
        <v>177</v>
      </c>
      <c r="B12" s="7" t="s">
        <v>24</v>
      </c>
      <c r="C12" s="7" t="s">
        <v>18</v>
      </c>
      <c r="D12" s="8">
        <v>2208</v>
      </c>
      <c r="E12" s="8">
        <v>104</v>
      </c>
      <c r="F12" s="8">
        <v>103</v>
      </c>
      <c r="G12" s="9">
        <f>E12/D12</f>
      </c>
      <c r="H12" s="9">
        <f>F12/D12</f>
      </c>
      <c r="I12" s="9"/>
      <c r="J12" s="7"/>
      <c r="K12" s="7"/>
      <c r="L12" s="7"/>
    </row>
    <row x14ac:dyDescent="0.25" r="13" customHeight="1" ht="19.5">
      <c r="A13" s="8">
        <v>360</v>
      </c>
      <c r="B13" s="10" t="s">
        <v>25</v>
      </c>
      <c r="C13" s="10" t="s">
        <v>26</v>
      </c>
      <c r="D13" s="8">
        <v>2048</v>
      </c>
      <c r="E13" s="8">
        <v>570</v>
      </c>
      <c r="F13" s="8">
        <v>471</v>
      </c>
      <c r="G13" s="9">
        <f>E13/D13</f>
      </c>
      <c r="H13" s="9">
        <f>F13/D13</f>
      </c>
      <c r="I13" s="9"/>
      <c r="J13" s="7"/>
      <c r="K13" s="7"/>
      <c r="L13" s="7"/>
    </row>
    <row x14ac:dyDescent="0.25" r="14" customHeight="1" ht="19.5">
      <c r="A14" s="6">
        <v>127</v>
      </c>
      <c r="B14" s="7" t="s">
        <v>27</v>
      </c>
      <c r="C14" s="7" t="s">
        <v>9</v>
      </c>
      <c r="D14" s="8">
        <v>1721</v>
      </c>
      <c r="E14" s="8">
        <v>616</v>
      </c>
      <c r="F14" s="8">
        <v>570</v>
      </c>
      <c r="G14" s="9">
        <f>E14/D14</f>
      </c>
      <c r="H14" s="9">
        <f>F14/D14</f>
      </c>
      <c r="I14" s="9"/>
      <c r="J14" s="7"/>
      <c r="K14" s="7"/>
      <c r="L14" s="7"/>
    </row>
    <row x14ac:dyDescent="0.25" r="15" customHeight="1" ht="19.5">
      <c r="A15" s="6">
        <v>285</v>
      </c>
      <c r="B15" s="7" t="s">
        <v>28</v>
      </c>
      <c r="C15" s="7" t="s">
        <v>18</v>
      </c>
      <c r="D15" s="8">
        <v>1680</v>
      </c>
      <c r="E15" s="8">
        <v>86</v>
      </c>
      <c r="F15" s="8">
        <v>135</v>
      </c>
      <c r="G15" s="9">
        <f>E15/D15</f>
      </c>
      <c r="H15" s="9">
        <f>F15/D15</f>
      </c>
      <c r="I15" s="9"/>
      <c r="J15" s="7"/>
      <c r="K15" s="7"/>
      <c r="L15" s="7"/>
    </row>
    <row x14ac:dyDescent="0.25" r="16" customHeight="1" ht="19.5">
      <c r="A16" s="6">
        <v>111</v>
      </c>
      <c r="B16" s="7" t="s">
        <v>29</v>
      </c>
      <c r="C16" s="7" t="s">
        <v>9</v>
      </c>
      <c r="D16" s="8">
        <v>1634</v>
      </c>
      <c r="E16" s="8">
        <v>151</v>
      </c>
      <c r="F16" s="8">
        <v>0</v>
      </c>
      <c r="G16" s="9">
        <f>E16/D16</f>
      </c>
      <c r="H16" s="9">
        <f>F16/D16</f>
      </c>
      <c r="I16" s="9"/>
      <c r="J16" s="7"/>
      <c r="K16" s="7"/>
      <c r="L16" s="7"/>
    </row>
    <row x14ac:dyDescent="0.25" r="17" customHeight="1" ht="18.75">
      <c r="A17" s="6">
        <v>187</v>
      </c>
      <c r="B17" s="7" t="s">
        <v>30</v>
      </c>
      <c r="C17" s="7" t="s">
        <v>9</v>
      </c>
      <c r="D17" s="8">
        <v>1611</v>
      </c>
      <c r="E17" s="8">
        <v>237</v>
      </c>
      <c r="F17" s="8">
        <v>220</v>
      </c>
      <c r="G17" s="9">
        <f>E17/D17</f>
      </c>
      <c r="H17" s="9">
        <f>F17/D17</f>
      </c>
      <c r="I17" s="9"/>
      <c r="J17" s="7"/>
      <c r="K17" s="7"/>
      <c r="L17" s="7"/>
    </row>
    <row x14ac:dyDescent="0.25" r="18" customHeight="1" ht="18.75">
      <c r="A18" s="6">
        <v>29</v>
      </c>
      <c r="B18" s="7" t="s">
        <v>31</v>
      </c>
      <c r="C18" s="7" t="s">
        <v>23</v>
      </c>
      <c r="D18" s="8">
        <v>1487</v>
      </c>
      <c r="E18" s="8">
        <v>378</v>
      </c>
      <c r="F18" s="8">
        <v>314</v>
      </c>
      <c r="G18" s="9">
        <f>E18/D18</f>
      </c>
      <c r="H18" s="9">
        <f>F18/D18</f>
      </c>
      <c r="I18" s="9"/>
      <c r="J18" s="7"/>
      <c r="K18" s="7"/>
      <c r="L18" s="7"/>
    </row>
    <row x14ac:dyDescent="0.25" r="19" customHeight="1" ht="14.25">
      <c r="A19" s="6">
        <v>337</v>
      </c>
      <c r="B19" s="7" t="s">
        <v>32</v>
      </c>
      <c r="C19" s="7" t="s">
        <v>15</v>
      </c>
      <c r="D19" s="8">
        <v>1461</v>
      </c>
      <c r="E19" s="8">
        <v>79</v>
      </c>
      <c r="F19" s="8">
        <v>72</v>
      </c>
      <c r="G19" s="9">
        <f>E19/D19</f>
      </c>
      <c r="H19" s="9">
        <f>F19/D19</f>
      </c>
      <c r="I19" s="9"/>
      <c r="J19" s="7"/>
      <c r="K19" s="7"/>
      <c r="L19" s="7"/>
    </row>
    <row x14ac:dyDescent="0.25" r="20" customHeight="1" ht="18.75">
      <c r="A20" s="6">
        <v>28</v>
      </c>
      <c r="B20" s="7" t="s">
        <v>33</v>
      </c>
      <c r="C20" s="7" t="s">
        <v>34</v>
      </c>
      <c r="D20" s="8">
        <v>1448</v>
      </c>
      <c r="E20" s="8">
        <v>256</v>
      </c>
      <c r="F20" s="8">
        <v>224</v>
      </c>
      <c r="G20" s="9">
        <f>E20/D20</f>
      </c>
      <c r="H20" s="9">
        <f>F20/D20</f>
      </c>
      <c r="I20" s="9"/>
      <c r="J20" s="7"/>
      <c r="K20" s="7"/>
      <c r="L20" s="7"/>
    </row>
    <row x14ac:dyDescent="0.25" r="21" customHeight="1" ht="14.25">
      <c r="A21" s="6">
        <v>231</v>
      </c>
      <c r="B21" s="7" t="s">
        <v>35</v>
      </c>
      <c r="C21" s="7" t="s">
        <v>12</v>
      </c>
      <c r="D21" s="8">
        <v>1368</v>
      </c>
      <c r="E21" s="8">
        <v>238</v>
      </c>
      <c r="F21" s="8">
        <v>184</v>
      </c>
      <c r="G21" s="9">
        <f>E21/D21</f>
      </c>
      <c r="H21" s="9">
        <f>F21/D21</f>
      </c>
      <c r="I21" s="9"/>
      <c r="J21" s="7"/>
      <c r="K21" s="7"/>
      <c r="L21" s="7"/>
    </row>
    <row x14ac:dyDescent="0.25" r="22" customHeight="1" ht="18.75">
      <c r="A22" s="6">
        <v>63</v>
      </c>
      <c r="B22" s="7" t="s">
        <v>36</v>
      </c>
      <c r="C22" s="7" t="s">
        <v>21</v>
      </c>
      <c r="D22" s="8">
        <v>1362</v>
      </c>
      <c r="E22" s="8">
        <v>359</v>
      </c>
      <c r="F22" s="8">
        <v>0</v>
      </c>
      <c r="G22" s="9">
        <f>E22/D22</f>
      </c>
      <c r="H22" s="9">
        <f>F22/D22</f>
      </c>
      <c r="I22" s="9"/>
      <c r="J22" s="7"/>
      <c r="K22" s="7"/>
      <c r="L22" s="7"/>
    </row>
    <row x14ac:dyDescent="0.25" r="23" customHeight="1" ht="18.75">
      <c r="A23" s="6">
        <v>279</v>
      </c>
      <c r="B23" s="7" t="s">
        <v>37</v>
      </c>
      <c r="C23" s="7" t="s">
        <v>18</v>
      </c>
      <c r="D23" s="8">
        <v>1292</v>
      </c>
      <c r="E23" s="8">
        <v>183</v>
      </c>
      <c r="F23" s="8">
        <v>145</v>
      </c>
      <c r="G23" s="9">
        <f>E23/D23</f>
      </c>
      <c r="H23" s="9">
        <f>F23/D23</f>
      </c>
      <c r="I23" s="9"/>
      <c r="J23" s="7"/>
      <c r="K23" s="7"/>
      <c r="L23" s="7"/>
    </row>
    <row x14ac:dyDescent="0.25" r="24" customHeight="1" ht="14.25">
      <c r="A24" s="6">
        <v>74</v>
      </c>
      <c r="B24" s="7" t="s">
        <v>38</v>
      </c>
      <c r="C24" s="7" t="s">
        <v>21</v>
      </c>
      <c r="D24" s="8">
        <v>1069</v>
      </c>
      <c r="E24" s="8">
        <v>113</v>
      </c>
      <c r="F24" s="8">
        <v>71</v>
      </c>
      <c r="G24" s="9">
        <f>E24/D24</f>
      </c>
      <c r="H24" s="9">
        <f>F24/D24</f>
      </c>
      <c r="I24" s="9"/>
      <c r="J24" s="7"/>
      <c r="K24" s="7"/>
      <c r="L24" s="7"/>
    </row>
    <row x14ac:dyDescent="0.25" r="25" customHeight="1" ht="18.75">
      <c r="A25" s="6">
        <v>245</v>
      </c>
      <c r="B25" s="7" t="s">
        <v>39</v>
      </c>
      <c r="C25" s="7" t="s">
        <v>40</v>
      </c>
      <c r="D25" s="8">
        <v>1021</v>
      </c>
      <c r="E25" s="8">
        <v>32</v>
      </c>
      <c r="F25" s="8">
        <v>0</v>
      </c>
      <c r="G25" s="9">
        <f>E25/D25</f>
      </c>
      <c r="H25" s="9">
        <f>F25/D25</f>
      </c>
      <c r="I25" s="9"/>
      <c r="J25" s="7"/>
      <c r="K25" s="7"/>
      <c r="L25" s="7"/>
    </row>
    <row x14ac:dyDescent="0.25" r="26" customHeight="1" ht="14.25">
      <c r="A26" s="6">
        <v>228</v>
      </c>
      <c r="B26" s="7" t="s">
        <v>41</v>
      </c>
      <c r="C26" s="7" t="s">
        <v>9</v>
      </c>
      <c r="D26" s="8">
        <v>981</v>
      </c>
      <c r="E26" s="8">
        <v>244</v>
      </c>
      <c r="F26" s="8">
        <v>204</v>
      </c>
      <c r="G26" s="9">
        <f>E26/D26</f>
      </c>
      <c r="H26" s="9">
        <f>F26/D26</f>
      </c>
      <c r="I26" s="9"/>
      <c r="J26" s="7"/>
      <c r="K26" s="7"/>
      <c r="L26" s="7"/>
    </row>
    <row x14ac:dyDescent="0.25" r="27" customHeight="1" ht="14.25">
      <c r="A27" s="6">
        <v>318</v>
      </c>
      <c r="B27" s="7" t="s">
        <v>42</v>
      </c>
      <c r="C27" s="7" t="s">
        <v>9</v>
      </c>
      <c r="D27" s="8">
        <v>965</v>
      </c>
      <c r="E27" s="8">
        <v>208</v>
      </c>
      <c r="F27" s="8">
        <v>0</v>
      </c>
      <c r="G27" s="9">
        <f>E27/D27</f>
      </c>
      <c r="H27" s="9">
        <f>F27/D27</f>
      </c>
      <c r="I27" s="9"/>
      <c r="J27" s="7"/>
      <c r="K27" s="7"/>
      <c r="L27" s="7"/>
    </row>
    <row x14ac:dyDescent="0.25" r="28" customHeight="1" ht="18.75">
      <c r="A28" s="6">
        <v>76</v>
      </c>
      <c r="B28" s="7" t="s">
        <v>43</v>
      </c>
      <c r="C28" s="7" t="s">
        <v>21</v>
      </c>
      <c r="D28" s="8">
        <v>952</v>
      </c>
      <c r="E28" s="8">
        <v>196</v>
      </c>
      <c r="F28" s="8">
        <v>114</v>
      </c>
      <c r="G28" s="9">
        <f>E28/D28</f>
      </c>
      <c r="H28" s="9">
        <f>F28/D28</f>
      </c>
      <c r="I28" s="9"/>
      <c r="J28" s="7"/>
      <c r="K28" s="7"/>
      <c r="L28" s="7"/>
    </row>
    <row x14ac:dyDescent="0.25" r="29" customHeight="1" ht="18.75">
      <c r="A29" s="6">
        <v>291</v>
      </c>
      <c r="B29" s="7" t="s">
        <v>44</v>
      </c>
      <c r="C29" s="7" t="s">
        <v>18</v>
      </c>
      <c r="D29" s="8">
        <v>841</v>
      </c>
      <c r="E29" s="8">
        <v>178</v>
      </c>
      <c r="F29" s="8">
        <v>136</v>
      </c>
      <c r="G29" s="9">
        <f>E29/D29</f>
      </c>
      <c r="H29" s="9">
        <f>F29/D29</f>
      </c>
      <c r="I29" s="9"/>
      <c r="J29" s="7"/>
      <c r="K29" s="7"/>
      <c r="L29" s="7"/>
    </row>
    <row x14ac:dyDescent="0.25" r="30" customHeight="1" ht="18.75">
      <c r="A30" s="6">
        <v>140</v>
      </c>
      <c r="B30" s="7" t="s">
        <v>45</v>
      </c>
      <c r="C30" s="7" t="s">
        <v>21</v>
      </c>
      <c r="D30" s="8">
        <v>805</v>
      </c>
      <c r="E30" s="8">
        <v>94</v>
      </c>
      <c r="F30" s="8">
        <v>75</v>
      </c>
      <c r="G30" s="9">
        <f>E30/D30</f>
      </c>
      <c r="H30" s="9">
        <f>F30/D30</f>
      </c>
      <c r="I30" s="9"/>
      <c r="J30" s="7"/>
      <c r="K30" s="7"/>
      <c r="L30" s="7"/>
    </row>
    <row x14ac:dyDescent="0.25" r="31" customHeight="1" ht="18.75">
      <c r="A31" s="6">
        <v>252</v>
      </c>
      <c r="B31" s="7" t="s">
        <v>46</v>
      </c>
      <c r="C31" s="7" t="s">
        <v>15</v>
      </c>
      <c r="D31" s="8">
        <v>776</v>
      </c>
      <c r="E31" s="8">
        <v>77</v>
      </c>
      <c r="F31" s="8">
        <v>0</v>
      </c>
      <c r="G31" s="9">
        <f>E31/D31</f>
      </c>
      <c r="H31" s="9">
        <f>F31/D31</f>
      </c>
      <c r="I31" s="9"/>
      <c r="J31" s="7"/>
      <c r="K31" s="7"/>
      <c r="L31" s="7"/>
    </row>
    <row x14ac:dyDescent="0.25" r="32" customHeight="1" ht="18.75">
      <c r="A32" s="6">
        <v>223</v>
      </c>
      <c r="B32" s="7" t="s">
        <v>47</v>
      </c>
      <c r="C32" s="7" t="s">
        <v>48</v>
      </c>
      <c r="D32" s="8">
        <v>739</v>
      </c>
      <c r="E32" s="8">
        <v>12</v>
      </c>
      <c r="F32" s="8">
        <v>3</v>
      </c>
      <c r="G32" s="9">
        <f>E32/D32</f>
      </c>
      <c r="H32" s="9">
        <f>F32/D32</f>
      </c>
      <c r="I32" s="9"/>
      <c r="J32" s="7"/>
      <c r="K32" s="7"/>
      <c r="L32" s="10"/>
    </row>
    <row x14ac:dyDescent="0.25" r="33" customHeight="1" ht="18.75">
      <c r="A33" s="6">
        <v>224</v>
      </c>
      <c r="B33" s="7" t="s">
        <v>49</v>
      </c>
      <c r="C33" s="7" t="s">
        <v>23</v>
      </c>
      <c r="D33" s="8">
        <v>720</v>
      </c>
      <c r="E33" s="8">
        <v>230</v>
      </c>
      <c r="F33" s="8">
        <v>201</v>
      </c>
      <c r="G33" s="9">
        <f>E33/D33</f>
      </c>
      <c r="H33" s="9">
        <f>F33/D33</f>
      </c>
      <c r="I33" s="9"/>
      <c r="J33" s="7"/>
      <c r="K33" s="7"/>
      <c r="L33" s="10"/>
    </row>
    <row x14ac:dyDescent="0.25" r="34" customHeight="1" ht="18.75">
      <c r="A34" s="6">
        <v>43</v>
      </c>
      <c r="B34" s="7" t="s">
        <v>50</v>
      </c>
      <c r="C34" s="7" t="s">
        <v>12</v>
      </c>
      <c r="D34" s="8">
        <v>709</v>
      </c>
      <c r="E34" s="8">
        <v>6</v>
      </c>
      <c r="F34" s="8">
        <v>6</v>
      </c>
      <c r="G34" s="9">
        <f>E34/D34</f>
      </c>
      <c r="H34" s="9">
        <f>F34/D34</f>
      </c>
      <c r="I34" s="9"/>
      <c r="J34" s="7"/>
      <c r="K34" s="7"/>
      <c r="L34" s="10"/>
    </row>
    <row x14ac:dyDescent="0.25" r="35" customHeight="1" ht="18.75">
      <c r="A35" s="6">
        <v>95</v>
      </c>
      <c r="B35" s="7" t="s">
        <v>51</v>
      </c>
      <c r="C35" s="7" t="s">
        <v>9</v>
      </c>
      <c r="D35" s="8">
        <v>609</v>
      </c>
      <c r="E35" s="8">
        <v>157</v>
      </c>
      <c r="F35" s="8">
        <v>107</v>
      </c>
      <c r="G35" s="9">
        <f>E35/D35</f>
      </c>
      <c r="H35" s="9">
        <f>F35/D35</f>
      </c>
      <c r="I35" s="9"/>
      <c r="J35" s="7"/>
      <c r="K35" s="7"/>
      <c r="L35" s="10"/>
    </row>
    <row x14ac:dyDescent="0.25" r="36" customHeight="1" ht="18.75">
      <c r="A36" s="6">
        <v>121</v>
      </c>
      <c r="B36" s="7" t="s">
        <v>52</v>
      </c>
      <c r="C36" s="7" t="s">
        <v>23</v>
      </c>
      <c r="D36" s="8">
        <v>602</v>
      </c>
      <c r="E36" s="8">
        <v>217</v>
      </c>
      <c r="F36" s="8">
        <v>191</v>
      </c>
      <c r="G36" s="9">
        <f>E36/D36</f>
      </c>
      <c r="H36" s="9">
        <f>F36/D36</f>
      </c>
      <c r="I36" s="9"/>
      <c r="J36" s="7"/>
      <c r="K36" s="7"/>
      <c r="L36" s="10"/>
    </row>
    <row x14ac:dyDescent="0.25" r="37" customHeight="1" ht="18.75">
      <c r="A37" s="6">
        <v>202</v>
      </c>
      <c r="B37" s="7" t="s">
        <v>53</v>
      </c>
      <c r="C37" s="7" t="s">
        <v>54</v>
      </c>
      <c r="D37" s="8">
        <v>497</v>
      </c>
      <c r="E37" s="8">
        <v>109</v>
      </c>
      <c r="F37" s="8">
        <v>86</v>
      </c>
      <c r="G37" s="9">
        <f>E37/D37</f>
      </c>
      <c r="H37" s="9">
        <f>F37/D37</f>
      </c>
      <c r="I37" s="9"/>
      <c r="J37" s="7"/>
      <c r="K37" s="7"/>
      <c r="L37" s="10"/>
    </row>
    <row x14ac:dyDescent="0.25" r="38" customHeight="1" ht="18.75">
      <c r="A38" s="6">
        <v>268</v>
      </c>
      <c r="B38" s="7" t="s">
        <v>55</v>
      </c>
      <c r="C38" s="7" t="s">
        <v>26</v>
      </c>
      <c r="D38" s="8">
        <v>489</v>
      </c>
      <c r="E38" s="8">
        <v>67</v>
      </c>
      <c r="F38" s="8">
        <v>57</v>
      </c>
      <c r="G38" s="9">
        <f>E38/D38</f>
      </c>
      <c r="H38" s="9">
        <f>F38/D38</f>
      </c>
      <c r="I38" s="9"/>
      <c r="J38" s="7"/>
      <c r="K38" s="7"/>
      <c r="L38" s="10"/>
    </row>
    <row x14ac:dyDescent="0.25" r="39" customHeight="1" ht="18.75">
      <c r="A39" s="6">
        <v>251</v>
      </c>
      <c r="B39" s="7" t="s">
        <v>56</v>
      </c>
      <c r="C39" s="7" t="s">
        <v>40</v>
      </c>
      <c r="D39" s="8">
        <v>395</v>
      </c>
      <c r="E39" s="8">
        <v>76</v>
      </c>
      <c r="F39" s="8">
        <v>89</v>
      </c>
      <c r="G39" s="9">
        <f>E39/D39</f>
      </c>
      <c r="H39" s="9">
        <f>F39/D39</f>
      </c>
      <c r="I39" s="9"/>
      <c r="J39" s="7"/>
      <c r="K39" s="7"/>
      <c r="L39" s="10"/>
    </row>
    <row x14ac:dyDescent="0.25" r="40" customHeight="1" ht="18.75">
      <c r="A40" s="6">
        <v>229</v>
      </c>
      <c r="B40" s="7" t="s">
        <v>57</v>
      </c>
      <c r="C40" s="7" t="s">
        <v>40</v>
      </c>
      <c r="D40" s="8">
        <v>395</v>
      </c>
      <c r="E40" s="8">
        <v>46</v>
      </c>
      <c r="F40" s="8">
        <v>47</v>
      </c>
      <c r="G40" s="9">
        <f>E40/D40</f>
      </c>
      <c r="H40" s="9">
        <f>F40/D40</f>
      </c>
      <c r="I40" s="9"/>
      <c r="J40" s="7"/>
      <c r="K40" s="7"/>
      <c r="L40" s="10"/>
    </row>
    <row x14ac:dyDescent="0.25" r="41" customHeight="1" ht="18.75">
      <c r="A41" s="6">
        <v>136</v>
      </c>
      <c r="B41" s="7" t="s">
        <v>58</v>
      </c>
      <c r="C41" s="7" t="s">
        <v>21</v>
      </c>
      <c r="D41" s="8">
        <v>355</v>
      </c>
      <c r="E41" s="8">
        <v>49</v>
      </c>
      <c r="F41" s="8">
        <v>38</v>
      </c>
      <c r="G41" s="9">
        <f>E41/D41</f>
      </c>
      <c r="H41" s="9">
        <f>F41/D41</f>
      </c>
      <c r="I41" s="9"/>
      <c r="J41" s="7"/>
      <c r="K41" s="7"/>
      <c r="L41" s="10"/>
    </row>
    <row x14ac:dyDescent="0.25" r="42" customHeight="1" ht="18.75">
      <c r="A42" s="6">
        <v>234</v>
      </c>
      <c r="B42" s="7" t="s">
        <v>59</v>
      </c>
      <c r="C42" s="7" t="s">
        <v>40</v>
      </c>
      <c r="D42" s="8">
        <v>350</v>
      </c>
      <c r="E42" s="8">
        <v>40</v>
      </c>
      <c r="F42" s="8">
        <v>39</v>
      </c>
      <c r="G42" s="9">
        <f>E42/D42</f>
      </c>
      <c r="H42" s="9">
        <f>F42/D42</f>
      </c>
      <c r="I42" s="9"/>
      <c r="J42" s="7"/>
      <c r="K42" s="7"/>
      <c r="L42" s="7"/>
    </row>
    <row x14ac:dyDescent="0.25" r="43" customHeight="1" ht="14.25">
      <c r="A43" s="6">
        <v>259</v>
      </c>
      <c r="B43" s="7" t="s">
        <v>60</v>
      </c>
      <c r="C43" s="7" t="s">
        <v>54</v>
      </c>
      <c r="D43" s="8">
        <v>313</v>
      </c>
      <c r="E43" s="8">
        <v>71</v>
      </c>
      <c r="F43" s="8">
        <v>57</v>
      </c>
      <c r="G43" s="9">
        <f>E43/D43</f>
      </c>
      <c r="H43" s="9">
        <f>F43/D43</f>
      </c>
      <c r="I43" s="9"/>
      <c r="J43" s="7"/>
      <c r="K43" s="7"/>
      <c r="L43" s="7"/>
    </row>
    <row x14ac:dyDescent="0.25" r="44" customHeight="1" ht="18.75">
      <c r="A44" s="6">
        <v>255</v>
      </c>
      <c r="B44" s="7" t="s">
        <v>61</v>
      </c>
      <c r="C44" s="7" t="s">
        <v>9</v>
      </c>
      <c r="D44" s="8">
        <v>298</v>
      </c>
      <c r="E44" s="8">
        <v>27</v>
      </c>
      <c r="F44" s="8">
        <v>19</v>
      </c>
      <c r="G44" s="9">
        <f>E44/D44</f>
      </c>
      <c r="H44" s="9">
        <f>F44/D44</f>
      </c>
      <c r="I44" s="9"/>
      <c r="J44" s="7"/>
      <c r="K44" s="7"/>
      <c r="L44" s="7"/>
    </row>
    <row x14ac:dyDescent="0.25" r="45" customHeight="1" ht="18.75">
      <c r="A45" s="6">
        <v>282</v>
      </c>
      <c r="B45" s="7" t="s">
        <v>62</v>
      </c>
      <c r="C45" s="7" t="s">
        <v>54</v>
      </c>
      <c r="D45" s="8">
        <v>254</v>
      </c>
      <c r="E45" s="8">
        <v>35</v>
      </c>
      <c r="F45" s="8">
        <v>29</v>
      </c>
      <c r="G45" s="9">
        <f>E45/D45</f>
      </c>
      <c r="H45" s="9">
        <f>F45/D45</f>
      </c>
      <c r="I45" s="9"/>
      <c r="J45" s="7"/>
      <c r="K45" s="7"/>
      <c r="L45" s="7"/>
    </row>
    <row x14ac:dyDescent="0.25" r="46" customHeight="1" ht="18.75">
      <c r="A46" s="6">
        <v>50</v>
      </c>
      <c r="B46" s="7" t="s">
        <v>63</v>
      </c>
      <c r="C46" s="7" t="s">
        <v>40</v>
      </c>
      <c r="D46" s="8">
        <v>227</v>
      </c>
      <c r="E46" s="8">
        <v>4</v>
      </c>
      <c r="F46" s="8">
        <v>3</v>
      </c>
      <c r="G46" s="9">
        <f>E46/D46</f>
      </c>
      <c r="H46" s="9">
        <f>F46/D46</f>
      </c>
      <c r="I46" s="9"/>
      <c r="J46" s="7"/>
      <c r="K46" s="7"/>
      <c r="L46" s="7"/>
    </row>
    <row x14ac:dyDescent="0.25" r="47" customHeight="1" ht="18.75">
      <c r="A47" s="6">
        <v>235</v>
      </c>
      <c r="B47" s="7" t="s">
        <v>64</v>
      </c>
      <c r="C47" s="7" t="s">
        <v>40</v>
      </c>
      <c r="D47" s="8">
        <v>223</v>
      </c>
      <c r="E47" s="8">
        <v>5</v>
      </c>
      <c r="F47" s="8">
        <v>4</v>
      </c>
      <c r="G47" s="9">
        <f>E47/D47</f>
      </c>
      <c r="H47" s="9">
        <f>F47/D47</f>
      </c>
      <c r="I47" s="9"/>
      <c r="J47" s="7"/>
      <c r="K47" s="7"/>
      <c r="L47" s="10"/>
    </row>
    <row x14ac:dyDescent="0.25" r="48" customHeight="1" ht="18.75">
      <c r="A48" s="6">
        <v>176</v>
      </c>
      <c r="B48" s="7" t="s">
        <v>65</v>
      </c>
      <c r="C48" s="7" t="s">
        <v>18</v>
      </c>
      <c r="D48" s="8">
        <v>220</v>
      </c>
      <c r="E48" s="8">
        <v>37</v>
      </c>
      <c r="F48" s="8">
        <v>0</v>
      </c>
      <c r="G48" s="9">
        <f>E48/D48</f>
      </c>
      <c r="H48" s="9">
        <f>F48/D48</f>
      </c>
      <c r="I48" s="9"/>
      <c r="J48" s="7"/>
      <c r="K48" s="7"/>
      <c r="L48" s="7"/>
    </row>
    <row x14ac:dyDescent="0.25" r="49" customHeight="1" ht="18.75">
      <c r="A49" s="6">
        <v>53</v>
      </c>
      <c r="B49" s="7" t="s">
        <v>66</v>
      </c>
      <c r="C49" s="7" t="s">
        <v>12</v>
      </c>
      <c r="D49" s="8">
        <v>200</v>
      </c>
      <c r="E49" s="8">
        <v>1</v>
      </c>
      <c r="F49" s="8">
        <v>1</v>
      </c>
      <c r="G49" s="9">
        <f>E49/D49</f>
      </c>
      <c r="H49" s="9">
        <f>F49/D49</f>
      </c>
      <c r="I49" s="9"/>
      <c r="J49" s="7"/>
      <c r="K49" s="7"/>
      <c r="L49" s="10"/>
    </row>
    <row x14ac:dyDescent="0.25" r="50" customHeight="1" ht="18.75">
      <c r="A50" s="6">
        <v>236</v>
      </c>
      <c r="B50" s="7" t="s">
        <v>67</v>
      </c>
      <c r="C50" s="7" t="s">
        <v>12</v>
      </c>
      <c r="D50" s="8">
        <v>194</v>
      </c>
      <c r="E50" s="8">
        <v>23</v>
      </c>
      <c r="F50" s="8">
        <v>26</v>
      </c>
      <c r="G50" s="9">
        <f>E50/D50</f>
      </c>
      <c r="H50" s="9">
        <f>F50/D50</f>
      </c>
      <c r="I50" s="9"/>
      <c r="J50" s="7"/>
      <c r="K50" s="7"/>
      <c r="L50" s="10"/>
    </row>
    <row x14ac:dyDescent="0.25" r="51" customHeight="1" ht="18.75">
      <c r="A51" s="6">
        <v>41</v>
      </c>
      <c r="B51" s="7" t="s">
        <v>68</v>
      </c>
      <c r="C51" s="7" t="s">
        <v>12</v>
      </c>
      <c r="D51" s="8">
        <v>179</v>
      </c>
      <c r="E51" s="6">
        <v>0</v>
      </c>
      <c r="F51" s="6">
        <v>0</v>
      </c>
      <c r="G51" s="9">
        <f>E51/D51</f>
      </c>
      <c r="H51" s="9">
        <f>F51/D51</f>
      </c>
      <c r="I51" s="9"/>
      <c r="J51" s="7"/>
      <c r="K51" s="7"/>
      <c r="L51" s="7"/>
    </row>
    <row x14ac:dyDescent="0.25" r="52" customHeight="1" ht="18.75">
      <c r="A52" s="6">
        <v>237</v>
      </c>
      <c r="B52" s="7" t="s">
        <v>69</v>
      </c>
      <c r="C52" s="7" t="s">
        <v>12</v>
      </c>
      <c r="D52" s="8">
        <v>172</v>
      </c>
      <c r="E52" s="8">
        <v>8</v>
      </c>
      <c r="F52" s="8">
        <v>9</v>
      </c>
      <c r="G52" s="9">
        <f>E52/D52</f>
      </c>
      <c r="H52" s="9">
        <f>F52/D52</f>
      </c>
      <c r="I52" s="9"/>
      <c r="J52" s="7"/>
      <c r="K52" s="7"/>
      <c r="L52" s="10"/>
    </row>
    <row x14ac:dyDescent="0.25" r="53" customHeight="1" ht="18.75">
      <c r="A53" s="6">
        <v>373</v>
      </c>
      <c r="B53" s="10" t="s">
        <v>70</v>
      </c>
      <c r="C53" s="10" t="s">
        <v>9</v>
      </c>
      <c r="D53" s="8">
        <v>160</v>
      </c>
      <c r="E53" s="8">
        <v>0</v>
      </c>
      <c r="F53" s="8">
        <v>9</v>
      </c>
      <c r="G53" s="9">
        <f>E53/D53</f>
      </c>
      <c r="H53" s="9">
        <f>F53/D53</f>
      </c>
      <c r="I53" s="9"/>
      <c r="J53" s="7"/>
      <c r="K53" s="7"/>
      <c r="L53" s="10"/>
    </row>
    <row x14ac:dyDescent="0.25" r="54" customHeight="1" ht="18.75">
      <c r="A54" s="6">
        <v>199</v>
      </c>
      <c r="B54" s="7" t="s">
        <v>71</v>
      </c>
      <c r="C54" s="7" t="s">
        <v>54</v>
      </c>
      <c r="D54" s="8">
        <v>160</v>
      </c>
      <c r="E54" s="8">
        <v>33</v>
      </c>
      <c r="F54" s="8">
        <v>24</v>
      </c>
      <c r="G54" s="9">
        <f>E54/D54</f>
      </c>
      <c r="H54" s="9">
        <f>F54/D54</f>
      </c>
      <c r="I54" s="9"/>
      <c r="J54" s="7"/>
      <c r="K54" s="7"/>
      <c r="L54" s="10"/>
    </row>
    <row x14ac:dyDescent="0.25" r="55" customHeight="1" ht="14.25">
      <c r="A55" s="6">
        <v>274</v>
      </c>
      <c r="B55" s="7" t="s">
        <v>72</v>
      </c>
      <c r="C55" s="7" t="s">
        <v>54</v>
      </c>
      <c r="D55" s="8">
        <v>138</v>
      </c>
      <c r="E55" s="8">
        <v>29</v>
      </c>
      <c r="F55" s="8">
        <v>23</v>
      </c>
      <c r="G55" s="9">
        <f>E55/D55</f>
      </c>
      <c r="H55" s="9">
        <f>F55/D55</f>
      </c>
      <c r="I55" s="9"/>
      <c r="J55" s="7"/>
      <c r="K55" s="7"/>
      <c r="L55" s="7"/>
    </row>
    <row x14ac:dyDescent="0.25" r="56" customHeight="1" ht="18.75">
      <c r="A56" s="6">
        <v>75</v>
      </c>
      <c r="B56" s="7" t="s">
        <v>73</v>
      </c>
      <c r="C56" s="7" t="s">
        <v>21</v>
      </c>
      <c r="D56" s="8">
        <v>133</v>
      </c>
      <c r="E56" s="8">
        <v>11</v>
      </c>
      <c r="F56" s="8">
        <v>5</v>
      </c>
      <c r="G56" s="9">
        <f>E56/D56</f>
      </c>
      <c r="H56" s="9">
        <f>F56/D56</f>
      </c>
      <c r="I56" s="9"/>
      <c r="J56" s="7"/>
      <c r="K56" s="7"/>
      <c r="L56" s="7"/>
    </row>
    <row x14ac:dyDescent="0.25" r="57" customHeight="1" ht="18.75">
      <c r="A57" s="6">
        <v>241</v>
      </c>
      <c r="B57" s="7" t="s">
        <v>74</v>
      </c>
      <c r="C57" s="7" t="s">
        <v>12</v>
      </c>
      <c r="D57" s="8">
        <v>117</v>
      </c>
      <c r="E57" s="8">
        <v>12</v>
      </c>
      <c r="F57" s="8">
        <v>15</v>
      </c>
      <c r="G57" s="9">
        <f>E57/D57</f>
      </c>
      <c r="H57" s="9">
        <f>F57/D57</f>
      </c>
      <c r="I57" s="9"/>
      <c r="J57" s="7"/>
      <c r="K57" s="7"/>
      <c r="L57" s="7"/>
    </row>
    <row x14ac:dyDescent="0.25" r="58" customHeight="1" ht="18.75">
      <c r="A58" s="6">
        <v>243</v>
      </c>
      <c r="B58" s="7" t="s">
        <v>75</v>
      </c>
      <c r="C58" s="7" t="s">
        <v>12</v>
      </c>
      <c r="D58" s="8">
        <v>102</v>
      </c>
      <c r="E58" s="8">
        <v>12</v>
      </c>
      <c r="F58" s="8">
        <v>11</v>
      </c>
      <c r="G58" s="9">
        <f>E58/D58</f>
      </c>
      <c r="H58" s="9">
        <f>F58/D58</f>
      </c>
      <c r="I58" s="9"/>
      <c r="J58" s="7"/>
      <c r="K58" s="7"/>
      <c r="L58" s="7"/>
    </row>
    <row x14ac:dyDescent="0.25" r="59" customHeight="1" ht="18.75">
      <c r="A59" s="6">
        <v>250</v>
      </c>
      <c r="B59" s="7" t="s">
        <v>76</v>
      </c>
      <c r="C59" s="7" t="s">
        <v>54</v>
      </c>
      <c r="D59" s="8">
        <v>78</v>
      </c>
      <c r="E59" s="8">
        <v>5</v>
      </c>
      <c r="F59" s="8">
        <v>6</v>
      </c>
      <c r="G59" s="9">
        <f>E59/D59</f>
      </c>
      <c r="H59" s="9">
        <f>F59/D59</f>
      </c>
      <c r="I59" s="9"/>
      <c r="J59" s="7"/>
      <c r="K59" s="7"/>
      <c r="L59" s="7"/>
    </row>
    <row x14ac:dyDescent="0.25" r="60" customHeight="1" ht="18.75">
      <c r="A60" s="6">
        <v>242</v>
      </c>
      <c r="B60" s="7" t="s">
        <v>77</v>
      </c>
      <c r="C60" s="7" t="s">
        <v>12</v>
      </c>
      <c r="D60" s="8">
        <v>78</v>
      </c>
      <c r="E60" s="8">
        <v>8</v>
      </c>
      <c r="F60" s="8">
        <v>9</v>
      </c>
      <c r="G60" s="9">
        <f>E60/D60</f>
      </c>
      <c r="H60" s="9">
        <f>F60/D60</f>
      </c>
      <c r="I60" s="9"/>
      <c r="J60" s="7"/>
      <c r="K60" s="7"/>
      <c r="L60" s="7"/>
    </row>
    <row x14ac:dyDescent="0.25" r="61" customHeight="1" ht="18.75">
      <c r="A61" s="6">
        <v>134</v>
      </c>
      <c r="B61" s="7" t="s">
        <v>78</v>
      </c>
      <c r="C61" s="7" t="s">
        <v>9</v>
      </c>
      <c r="D61" s="11"/>
      <c r="E61" s="11"/>
      <c r="F61" s="11"/>
      <c r="G61" s="9"/>
      <c r="H61" s="9"/>
      <c r="I61" s="9"/>
      <c r="J61" s="7"/>
      <c r="K61" s="7"/>
      <c r="L61" s="7"/>
    </row>
    <row x14ac:dyDescent="0.25" r="62" customHeight="1" ht="18.75">
      <c r="A62" s="12">
        <v>6</v>
      </c>
      <c r="B62" s="13" t="s">
        <v>79</v>
      </c>
      <c r="C62" s="13" t="s">
        <v>40</v>
      </c>
      <c r="D62" s="8">
        <v>1612</v>
      </c>
      <c r="E62" s="8">
        <v>113</v>
      </c>
      <c r="F62" s="8">
        <v>91</v>
      </c>
      <c r="G62" s="9">
        <f>E62/D62</f>
      </c>
      <c r="H62" s="9">
        <f>F62/D62</f>
      </c>
      <c r="I62" s="9"/>
      <c r="J62" s="7"/>
      <c r="K62" s="7"/>
      <c r="L62" s="7"/>
    </row>
    <row x14ac:dyDescent="0.25" r="63" customHeight="1" ht="18.75">
      <c r="A63" s="12">
        <v>66</v>
      </c>
      <c r="B63" s="13" t="s">
        <v>80</v>
      </c>
      <c r="C63" s="13" t="s">
        <v>40</v>
      </c>
      <c r="D63" s="8">
        <v>394</v>
      </c>
      <c r="E63" s="8">
        <v>33</v>
      </c>
      <c r="F63" s="8">
        <v>36</v>
      </c>
      <c r="G63" s="9">
        <f>E63/D63</f>
      </c>
      <c r="H63" s="9">
        <f>F63/D63</f>
      </c>
      <c r="I63" s="9"/>
      <c r="J63" s="7"/>
      <c r="K63" s="7"/>
      <c r="L63" s="10"/>
    </row>
    <row x14ac:dyDescent="0.25" r="64" customHeight="1" ht="18.75">
      <c r="A64" s="12">
        <v>67</v>
      </c>
      <c r="B64" s="13" t="s">
        <v>81</v>
      </c>
      <c r="C64" s="13" t="s">
        <v>40</v>
      </c>
      <c r="D64" s="8">
        <v>286</v>
      </c>
      <c r="E64" s="8">
        <v>24</v>
      </c>
      <c r="F64" s="8">
        <v>23</v>
      </c>
      <c r="G64" s="9">
        <f>E64/D64</f>
      </c>
      <c r="H64" s="9">
        <f>F64/D64</f>
      </c>
      <c r="I64" s="9"/>
      <c r="J64" s="7"/>
      <c r="K64" s="7"/>
      <c r="L64" s="7"/>
    </row>
    <row x14ac:dyDescent="0.25" r="65" customHeight="1" ht="18.75">
      <c r="A65" s="14">
        <v>213</v>
      </c>
      <c r="B65" s="15" t="s">
        <v>82</v>
      </c>
      <c r="C65" s="15" t="s">
        <v>40</v>
      </c>
      <c r="D65" s="8">
        <v>852</v>
      </c>
      <c r="E65" s="8">
        <v>0</v>
      </c>
      <c r="F65" s="8">
        <v>23</v>
      </c>
      <c r="G65" s="9">
        <f>E65/D65</f>
      </c>
      <c r="H65" s="9">
        <f>F65/D65</f>
      </c>
      <c r="I65" s="9"/>
      <c r="J65" s="7"/>
      <c r="K65" s="7"/>
      <c r="L65" s="7"/>
    </row>
    <row x14ac:dyDescent="0.25" r="66" customHeight="1" ht="18.75">
      <c r="A66" s="16">
        <v>100</v>
      </c>
      <c r="B66" s="17" t="s">
        <v>83</v>
      </c>
      <c r="C66" s="17" t="s">
        <v>26</v>
      </c>
      <c r="D66" s="8">
        <v>1253</v>
      </c>
      <c r="E66" s="8">
        <v>157</v>
      </c>
      <c r="F66" s="8">
        <v>148</v>
      </c>
      <c r="G66" s="9">
        <f>E66/D66</f>
      </c>
      <c r="H66" s="9">
        <f>F66/D66</f>
      </c>
      <c r="I66" s="9"/>
      <c r="J66" s="7"/>
      <c r="K66" s="7"/>
      <c r="L66" s="7"/>
    </row>
    <row x14ac:dyDescent="0.25" r="67" customHeight="1" ht="18.75">
      <c r="A67" s="16">
        <v>103</v>
      </c>
      <c r="B67" s="17" t="s">
        <v>84</v>
      </c>
      <c r="C67" s="17" t="s">
        <v>26</v>
      </c>
      <c r="D67" s="8">
        <v>268</v>
      </c>
      <c r="E67" s="8">
        <v>57</v>
      </c>
      <c r="F67" s="8">
        <v>56</v>
      </c>
      <c r="G67" s="9">
        <f>E67/D67</f>
      </c>
      <c r="H67" s="9">
        <f>F67/D67</f>
      </c>
      <c r="I67" s="9"/>
      <c r="J67" s="7"/>
      <c r="K67" s="7"/>
      <c r="L67" s="7"/>
    </row>
    <row x14ac:dyDescent="0.25" r="68" customHeight="1" ht="18.75">
      <c r="A68" s="16">
        <v>109</v>
      </c>
      <c r="B68" s="17" t="s">
        <v>85</v>
      </c>
      <c r="C68" s="17" t="s">
        <v>26</v>
      </c>
      <c r="D68" s="8">
        <v>1703</v>
      </c>
      <c r="E68" s="8">
        <v>144</v>
      </c>
      <c r="F68" s="8">
        <v>141</v>
      </c>
      <c r="G68" s="9">
        <f>E68/D68</f>
      </c>
      <c r="H68" s="9">
        <f>F68/D68</f>
      </c>
      <c r="I68" s="9"/>
      <c r="J68" s="7"/>
      <c r="K68" s="7"/>
      <c r="L68" s="7"/>
    </row>
    <row x14ac:dyDescent="0.25" r="69" customHeight="1" ht="18.75">
      <c r="A69" s="18">
        <v>214</v>
      </c>
      <c r="B69" s="19" t="s">
        <v>86</v>
      </c>
      <c r="C69" s="19" t="s">
        <v>26</v>
      </c>
      <c r="D69" s="8">
        <v>745</v>
      </c>
      <c r="E69" s="8">
        <v>0</v>
      </c>
      <c r="F69" s="8">
        <v>34</v>
      </c>
      <c r="G69" s="9">
        <f>E69/D69</f>
      </c>
      <c r="H69" s="9">
        <f>F69/D69</f>
      </c>
      <c r="I69" s="9"/>
      <c r="J69" s="7"/>
      <c r="K69" s="7"/>
      <c r="L69" s="7"/>
    </row>
    <row x14ac:dyDescent="0.25" r="70" customHeight="1" ht="18.75">
      <c r="A70" s="20">
        <v>151</v>
      </c>
      <c r="B70" s="21" t="s">
        <v>87</v>
      </c>
      <c r="C70" s="21" t="s">
        <v>18</v>
      </c>
      <c r="D70" s="8">
        <v>418</v>
      </c>
      <c r="E70" s="8">
        <v>39</v>
      </c>
      <c r="F70" s="8">
        <v>38</v>
      </c>
      <c r="G70" s="9">
        <f>E70/D70</f>
      </c>
      <c r="H70" s="9">
        <f>F70/D70</f>
      </c>
      <c r="I70" s="9"/>
      <c r="J70" s="7"/>
      <c r="K70" s="7"/>
      <c r="L70" s="10"/>
    </row>
    <row x14ac:dyDescent="0.25" r="71" customHeight="1" ht="18.75">
      <c r="A71" s="20">
        <v>191</v>
      </c>
      <c r="B71" s="21" t="s">
        <v>88</v>
      </c>
      <c r="C71" s="21" t="s">
        <v>18</v>
      </c>
      <c r="D71" s="8">
        <v>268</v>
      </c>
      <c r="E71" s="8">
        <v>31</v>
      </c>
      <c r="F71" s="8">
        <v>30</v>
      </c>
      <c r="G71" s="9">
        <f>E71/D71</f>
      </c>
      <c r="H71" s="9">
        <f>F71/D71</f>
      </c>
      <c r="I71" s="9"/>
      <c r="J71" s="7"/>
      <c r="K71" s="7"/>
      <c r="L71" s="10"/>
    </row>
    <row x14ac:dyDescent="0.25" r="72" customHeight="1" ht="18.75">
      <c r="A72" s="22">
        <v>266</v>
      </c>
      <c r="B72" s="23" t="s">
        <v>89</v>
      </c>
      <c r="C72" s="23" t="s">
        <v>18</v>
      </c>
      <c r="D72" s="8">
        <v>401</v>
      </c>
      <c r="E72" s="8">
        <v>0</v>
      </c>
      <c r="F72" s="8">
        <v>21</v>
      </c>
      <c r="G72" s="9">
        <f>E72/D72</f>
      </c>
      <c r="H72" s="9">
        <f>F72/D72</f>
      </c>
      <c r="I72" s="9"/>
      <c r="J72" s="7"/>
      <c r="K72" s="7"/>
      <c r="L72" s="10"/>
    </row>
    <row x14ac:dyDescent="0.25" r="73" customHeight="1" ht="18.75">
      <c r="A73" s="20">
        <v>192</v>
      </c>
      <c r="B73" s="21" t="s">
        <v>90</v>
      </c>
      <c r="C73" s="21" t="s">
        <v>18</v>
      </c>
      <c r="D73" s="8">
        <v>212</v>
      </c>
      <c r="E73" s="8">
        <v>26</v>
      </c>
      <c r="F73" s="8">
        <v>23</v>
      </c>
      <c r="G73" s="9">
        <f>E73/D73</f>
      </c>
      <c r="H73" s="9">
        <f>F73/D73</f>
      </c>
      <c r="I73" s="9"/>
      <c r="J73" s="7"/>
      <c r="K73" s="7"/>
      <c r="L73" s="7"/>
    </row>
    <row x14ac:dyDescent="0.25" r="74" customHeight="1" ht="18.75">
      <c r="A74" s="24">
        <v>142</v>
      </c>
      <c r="B74" s="25" t="s">
        <v>91</v>
      </c>
      <c r="C74" s="25" t="s">
        <v>21</v>
      </c>
      <c r="D74" s="8">
        <v>435</v>
      </c>
      <c r="E74" s="8">
        <v>82</v>
      </c>
      <c r="F74" s="8">
        <v>73</v>
      </c>
      <c r="G74" s="9">
        <f>E74/D74</f>
      </c>
      <c r="H74" s="9">
        <f>F74/D74</f>
      </c>
      <c r="I74" s="9"/>
      <c r="J74" s="7"/>
      <c r="K74" s="7"/>
      <c r="L74" s="10"/>
    </row>
    <row x14ac:dyDescent="0.25" r="75" customHeight="1" ht="14.25">
      <c r="A75" s="24">
        <v>143</v>
      </c>
      <c r="B75" s="25" t="s">
        <v>92</v>
      </c>
      <c r="C75" s="25" t="s">
        <v>21</v>
      </c>
      <c r="D75" s="8">
        <v>144</v>
      </c>
      <c r="E75" s="8">
        <v>35</v>
      </c>
      <c r="F75" s="8">
        <v>37</v>
      </c>
      <c r="G75" s="9">
        <f>E75/D75</f>
      </c>
      <c r="H75" s="9">
        <f>F75/D75</f>
      </c>
      <c r="I75" s="9"/>
      <c r="J75" s="7"/>
      <c r="K75" s="7"/>
      <c r="L75" s="7"/>
    </row>
    <row x14ac:dyDescent="0.25" r="76" customHeight="1" ht="18.75">
      <c r="A76" s="24">
        <v>144</v>
      </c>
      <c r="B76" s="25" t="s">
        <v>93</v>
      </c>
      <c r="C76" s="25" t="s">
        <v>21</v>
      </c>
      <c r="D76" s="8">
        <v>161</v>
      </c>
      <c r="E76" s="8">
        <v>30</v>
      </c>
      <c r="F76" s="8">
        <v>36</v>
      </c>
      <c r="G76" s="9">
        <f>E76/D76</f>
      </c>
      <c r="H76" s="9">
        <f>F76/D76</f>
      </c>
      <c r="I76" s="9"/>
      <c r="J76" s="7"/>
      <c r="K76" s="7"/>
      <c r="L76" s="10"/>
    </row>
    <row x14ac:dyDescent="0.25" r="77" customHeight="1" ht="18.75">
      <c r="A77" s="24">
        <v>145</v>
      </c>
      <c r="B77" s="25" t="s">
        <v>94</v>
      </c>
      <c r="C77" s="25" t="s">
        <v>21</v>
      </c>
      <c r="D77" s="8">
        <v>194</v>
      </c>
      <c r="E77" s="8">
        <v>38</v>
      </c>
      <c r="F77" s="8">
        <v>34</v>
      </c>
      <c r="G77" s="9">
        <f>E77/D77</f>
      </c>
      <c r="H77" s="9">
        <f>F77/D77</f>
      </c>
      <c r="I77" s="9"/>
      <c r="J77" s="7"/>
      <c r="K77" s="7"/>
      <c r="L77" s="7"/>
    </row>
    <row x14ac:dyDescent="0.25" r="78" customHeight="1" ht="18.75">
      <c r="A78" s="26">
        <v>238</v>
      </c>
      <c r="B78" s="27" t="s">
        <v>95</v>
      </c>
      <c r="C78" s="27" t="s">
        <v>21</v>
      </c>
      <c r="D78" s="8">
        <v>303</v>
      </c>
      <c r="E78" s="8">
        <v>0</v>
      </c>
      <c r="F78" s="8">
        <v>24</v>
      </c>
      <c r="G78" s="9">
        <f>E78/D78</f>
      </c>
      <c r="H78" s="9">
        <f>F78/D78</f>
      </c>
      <c r="I78" s="9"/>
      <c r="J78" s="7"/>
      <c r="K78" s="7"/>
      <c r="L78" s="7"/>
    </row>
    <row x14ac:dyDescent="0.25" r="79" customHeight="1" ht="18.75">
      <c r="A79" s="28">
        <v>56</v>
      </c>
      <c r="B79" s="29" t="s">
        <v>96</v>
      </c>
      <c r="C79" s="29" t="s">
        <v>54</v>
      </c>
      <c r="D79" s="8">
        <v>3660</v>
      </c>
      <c r="E79" s="8">
        <v>747</v>
      </c>
      <c r="F79" s="8">
        <v>606</v>
      </c>
      <c r="G79" s="9">
        <f>E79/D79</f>
      </c>
      <c r="H79" s="9">
        <f>F79/D79</f>
      </c>
      <c r="I79" s="9"/>
      <c r="J79" s="7"/>
      <c r="K79" s="7"/>
      <c r="L79" s="7"/>
    </row>
    <row x14ac:dyDescent="0.25" r="80" customHeight="1" ht="18.75">
      <c r="A80" s="28">
        <v>10</v>
      </c>
      <c r="B80" s="29" t="s">
        <v>97</v>
      </c>
      <c r="C80" s="29" t="s">
        <v>54</v>
      </c>
      <c r="D80" s="8">
        <v>628</v>
      </c>
      <c r="E80" s="8">
        <v>194</v>
      </c>
      <c r="F80" s="8">
        <v>182</v>
      </c>
      <c r="G80" s="9">
        <f>E80/D80</f>
      </c>
      <c r="H80" s="9">
        <f>F80/D80</f>
      </c>
      <c r="I80" s="9"/>
      <c r="J80" s="7"/>
      <c r="K80" s="7"/>
      <c r="L80" s="10"/>
    </row>
    <row x14ac:dyDescent="0.25" r="81" customHeight="1" ht="18.75">
      <c r="A81" s="28">
        <v>80</v>
      </c>
      <c r="B81" s="29" t="s">
        <v>98</v>
      </c>
      <c r="C81" s="29" t="s">
        <v>54</v>
      </c>
      <c r="D81" s="8">
        <v>512</v>
      </c>
      <c r="E81" s="8">
        <v>202</v>
      </c>
      <c r="F81" s="8">
        <v>181</v>
      </c>
      <c r="G81" s="9">
        <f>E81/D81</f>
      </c>
      <c r="H81" s="9">
        <f>F81/D81</f>
      </c>
      <c r="I81" s="9"/>
      <c r="J81" s="7"/>
      <c r="K81" s="7"/>
      <c r="L81" s="10"/>
    </row>
    <row x14ac:dyDescent="0.25" r="82" customHeight="1" ht="18.75">
      <c r="A82" s="30">
        <v>215</v>
      </c>
      <c r="B82" s="31" t="s">
        <v>99</v>
      </c>
      <c r="C82" s="31" t="s">
        <v>54</v>
      </c>
      <c r="D82" s="8">
        <v>726</v>
      </c>
      <c r="E82" s="8">
        <v>0</v>
      </c>
      <c r="F82" s="8">
        <v>168</v>
      </c>
      <c r="G82" s="9">
        <f>E82/D82</f>
      </c>
      <c r="H82" s="9">
        <f>F82/D82</f>
      </c>
      <c r="I82" s="9"/>
      <c r="J82" s="7"/>
      <c r="K82" s="7"/>
      <c r="L82" s="10"/>
    </row>
    <row x14ac:dyDescent="0.25" r="83" customHeight="1" ht="18.75">
      <c r="A83" s="32">
        <v>322</v>
      </c>
      <c r="B83" s="33" t="s">
        <v>100</v>
      </c>
      <c r="C83" s="33" t="s">
        <v>9</v>
      </c>
      <c r="D83" s="8">
        <v>4061</v>
      </c>
      <c r="E83" s="8">
        <v>1294</v>
      </c>
      <c r="F83" s="8">
        <v>789</v>
      </c>
      <c r="G83" s="9">
        <f>E83/D83</f>
      </c>
      <c r="H83" s="9">
        <f>F83/D83</f>
      </c>
      <c r="I83" s="9"/>
      <c r="J83" s="7"/>
      <c r="K83" s="7"/>
      <c r="L83" s="7"/>
    </row>
    <row x14ac:dyDescent="0.25" r="84" customHeight="1" ht="18.75">
      <c r="A84" s="32">
        <v>332</v>
      </c>
      <c r="B84" s="33" t="s">
        <v>101</v>
      </c>
      <c r="C84" s="33" t="s">
        <v>12</v>
      </c>
      <c r="D84" s="8">
        <v>1285</v>
      </c>
      <c r="E84" s="8">
        <v>488</v>
      </c>
      <c r="F84" s="8">
        <v>398</v>
      </c>
      <c r="G84" s="9">
        <f>E84/D84</f>
      </c>
      <c r="H84" s="9">
        <f>F84/D84</f>
      </c>
      <c r="I84" s="9"/>
      <c r="J84" s="7"/>
      <c r="K84" s="7"/>
      <c r="L84" s="7"/>
    </row>
    <row x14ac:dyDescent="0.25" r="85" customHeight="1" ht="18.75">
      <c r="A85" s="32">
        <v>331</v>
      </c>
      <c r="B85" s="33" t="s">
        <v>102</v>
      </c>
      <c r="C85" s="33" t="s">
        <v>23</v>
      </c>
      <c r="D85" s="8">
        <v>1367</v>
      </c>
      <c r="E85" s="8">
        <v>526</v>
      </c>
      <c r="F85" s="8">
        <v>470</v>
      </c>
      <c r="G85" s="9">
        <f>E85/D85</f>
      </c>
      <c r="H85" s="9">
        <f>F85/D85</f>
      </c>
      <c r="I85" s="9"/>
      <c r="J85" s="7"/>
      <c r="K85" s="7"/>
      <c r="L85" s="7"/>
    </row>
    <row x14ac:dyDescent="0.25" r="86" customHeight="1" ht="18.75">
      <c r="A86" s="32">
        <v>386</v>
      </c>
      <c r="B86" s="33" t="s">
        <v>103</v>
      </c>
      <c r="C86" s="33" t="s">
        <v>9</v>
      </c>
      <c r="D86" s="8">
        <v>658</v>
      </c>
      <c r="E86" s="8">
        <v>101</v>
      </c>
      <c r="F86" s="8">
        <v>39</v>
      </c>
      <c r="G86" s="9">
        <f>E86/D86</f>
      </c>
      <c r="H86" s="9">
        <f>F86/D86</f>
      </c>
      <c r="I86" s="9"/>
      <c r="J86" s="7"/>
      <c r="K86" s="7"/>
      <c r="L86" s="10"/>
    </row>
    <row x14ac:dyDescent="0.25" r="87" customHeight="1" ht="18.75">
      <c r="A87" s="32">
        <v>323</v>
      </c>
      <c r="B87" s="33" t="s">
        <v>104</v>
      </c>
      <c r="C87" s="33" t="s">
        <v>9</v>
      </c>
      <c r="D87" s="8">
        <v>719</v>
      </c>
      <c r="E87" s="8">
        <v>343</v>
      </c>
      <c r="F87" s="8">
        <v>294</v>
      </c>
      <c r="G87" s="9">
        <f>E87/D87</f>
      </c>
      <c r="H87" s="9">
        <f>F87/D87</f>
      </c>
      <c r="I87" s="9"/>
      <c r="J87" s="7"/>
      <c r="K87" s="7"/>
      <c r="L87" s="10"/>
    </row>
    <row x14ac:dyDescent="0.25" r="88" customHeight="1" ht="18.75">
      <c r="A88" s="32">
        <v>330</v>
      </c>
      <c r="B88" s="33" t="s">
        <v>105</v>
      </c>
      <c r="C88" s="33" t="s">
        <v>9</v>
      </c>
      <c r="D88" s="8">
        <v>482</v>
      </c>
      <c r="E88" s="8">
        <v>258</v>
      </c>
      <c r="F88" s="8">
        <v>235</v>
      </c>
      <c r="G88" s="9">
        <f>E88/D88</f>
      </c>
      <c r="H88" s="9">
        <f>F88/D88</f>
      </c>
      <c r="I88" s="9"/>
      <c r="J88" s="7"/>
      <c r="K88" s="7"/>
      <c r="L88" s="10"/>
    </row>
    <row x14ac:dyDescent="0.25" r="89" customHeight="1" ht="18.75">
      <c r="A89" s="32">
        <v>329</v>
      </c>
      <c r="B89" s="33" t="s">
        <v>106</v>
      </c>
      <c r="C89" s="33" t="s">
        <v>40</v>
      </c>
      <c r="D89" s="8">
        <v>1070</v>
      </c>
      <c r="E89" s="8">
        <v>461</v>
      </c>
      <c r="F89" s="8">
        <v>399</v>
      </c>
      <c r="G89" s="9">
        <f>E89/D89</f>
      </c>
      <c r="H89" s="9">
        <f>F89/D89</f>
      </c>
      <c r="I89" s="9"/>
      <c r="J89" s="7"/>
      <c r="K89" s="7"/>
      <c r="L89" s="7"/>
    </row>
    <row x14ac:dyDescent="0.25" r="90" customHeight="1" ht="14.25">
      <c r="A90" s="32">
        <v>362</v>
      </c>
      <c r="B90" s="33" t="s">
        <v>107</v>
      </c>
      <c r="C90" s="33" t="s">
        <v>9</v>
      </c>
      <c r="D90" s="8">
        <v>1083</v>
      </c>
      <c r="E90" s="8">
        <v>0</v>
      </c>
      <c r="F90" s="8">
        <v>290</v>
      </c>
      <c r="G90" s="9">
        <f>E90/D90</f>
      </c>
      <c r="H90" s="9">
        <f>F90/D90</f>
      </c>
      <c r="I90" s="9"/>
      <c r="J90" s="7"/>
      <c r="K90" s="7"/>
      <c r="L90" s="7"/>
    </row>
    <row x14ac:dyDescent="0.25" r="91" customHeight="1" ht="18.75">
      <c r="A91" s="11"/>
      <c r="B91" s="10"/>
      <c r="C91" s="10"/>
      <c r="D91" s="11"/>
      <c r="E91" s="11"/>
      <c r="F91" s="11"/>
      <c r="G91" s="34"/>
      <c r="H91" s="34"/>
      <c r="I91" s="34"/>
      <c r="J91" s="10"/>
      <c r="K91" s="10"/>
      <c r="L91" s="10"/>
    </row>
    <row x14ac:dyDescent="0.25" r="92" customHeight="1" ht="18.75">
      <c r="A92" s="11"/>
      <c r="B92" s="10"/>
      <c r="C92" s="10"/>
      <c r="D92" s="11"/>
      <c r="E92" s="11"/>
      <c r="F92" s="11"/>
      <c r="G92" s="34"/>
      <c r="H92" s="34"/>
      <c r="I92" s="34"/>
      <c r="J92" s="10"/>
      <c r="K92" s="10"/>
      <c r="L92" s="10"/>
    </row>
  </sheetData>
  <mergeCells count="18">
    <mergeCell ref="K7:L7"/>
    <mergeCell ref="K8:L8"/>
    <mergeCell ref="K10:L10"/>
    <mergeCell ref="K19:L19"/>
    <mergeCell ref="K22:L22"/>
    <mergeCell ref="K44:L44"/>
    <mergeCell ref="K46:L46"/>
    <mergeCell ref="K55:L55"/>
    <mergeCell ref="K62:L62"/>
    <mergeCell ref="K64:L64"/>
    <mergeCell ref="K65:L65"/>
    <mergeCell ref="K67:L67"/>
    <mergeCell ref="K73:L73"/>
    <mergeCell ref="K77:L77"/>
    <mergeCell ref="K83:L83"/>
    <mergeCell ref="K84:L84"/>
    <mergeCell ref="K85:L85"/>
    <mergeCell ref="K89:L8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28.10.2025</vt:lpstr>
      <vt:lpstr>27.11.2025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2025-12-03T11:12:48.362Z</dcterms:created>
  <dcterms:modified xsi:type="dcterms:W3CDTF">2025-12-03T11:12:48.362Z</dcterms:modified>
</cp:coreProperties>
</file>